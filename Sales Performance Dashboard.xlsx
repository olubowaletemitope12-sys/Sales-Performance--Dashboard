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DELL\Documents\"/>
    </mc:Choice>
  </mc:AlternateContent>
  <xr:revisionPtr revIDLastSave="0" documentId="8_{1C59D2F5-02D7-47AA-91C4-C8B518C5A310}" xr6:coauthVersionLast="47" xr6:coauthVersionMax="47" xr10:uidLastSave="{00000000-0000-0000-0000-000000000000}"/>
  <bookViews>
    <workbookView xWindow="-110" yWindow="-110" windowWidth="19420" windowHeight="10300" activeTab="3" xr2:uid="{00000000-000D-0000-FFFF-FFFF00000000}"/>
  </bookViews>
  <sheets>
    <sheet name="Raw database" sheetId="1" r:id="rId1"/>
    <sheet name="Cleaned Data" sheetId="6" r:id="rId2"/>
    <sheet name="Dashboard" sheetId="4" r:id="rId3"/>
    <sheet name="Analysis" sheetId="3" r:id="rId4"/>
    <sheet name="Assignment Instructions" sheetId="2" r:id="rId5"/>
  </sheets>
  <definedNames>
    <definedName name="ExternalData_1" localSheetId="1" hidden="1">'Cleaned Data'!$A$1:$M$76</definedName>
    <definedName name="Slicer_Order_Status">#N/A</definedName>
    <definedName name="Slicer_Payment_Metho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AAB188-9442-4184-BFFE-FECC68809D0A}"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3C5A21B0-BFA0-46A8-8E73-6FFB8F88716A}" keepAlive="1" name="Query - Table1 (2)" description="Connection to the 'Table1 (2)' query in the workbook." type="5" refreshedVersion="7"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<sst xmlns="http://schemas.openxmlformats.org/spreadsheetml/2006/main" count="1531" uniqueCount="333">
  <si>
    <t>Emp ID</t>
  </si>
  <si>
    <t>employee Name</t>
  </si>
  <si>
    <t>DEPARTMENT</t>
  </si>
  <si>
    <t>Region</t>
  </si>
  <si>
    <t>Product Category</t>
  </si>
  <si>
    <t>Date of sale</t>
  </si>
  <si>
    <t>Qty Sold</t>
  </si>
  <si>
    <t>Unit price</t>
  </si>
  <si>
    <t>Total Revenue</t>
  </si>
  <si>
    <t>Customer Type</t>
  </si>
  <si>
    <t>Payment Method</t>
  </si>
  <si>
    <t>Order Status</t>
  </si>
  <si>
    <t>Discount (%)</t>
  </si>
  <si>
    <t>E001</t>
  </si>
  <si>
    <t>Amara obi</t>
  </si>
  <si>
    <t>Sales</t>
  </si>
  <si>
    <t>South</t>
  </si>
  <si>
    <t>Electronics</t>
  </si>
  <si>
    <t>05/01/2024</t>
  </si>
  <si>
    <t>Retail</t>
  </si>
  <si>
    <t>Cash</t>
  </si>
  <si>
    <t>Completed</t>
  </si>
  <si>
    <t>E002</t>
  </si>
  <si>
    <t>TUNDE bello</t>
  </si>
  <si>
    <t>SALES</t>
  </si>
  <si>
    <t>North</t>
  </si>
  <si>
    <t>Clothing</t>
  </si>
  <si>
    <t>12/01/2024</t>
  </si>
  <si>
    <t>Wholesale</t>
  </si>
  <si>
    <t>Transfer</t>
  </si>
  <si>
    <t>completed</t>
  </si>
  <si>
    <t>E003</t>
  </si>
  <si>
    <t>ngozi EZE</t>
  </si>
  <si>
    <t>marketing</t>
  </si>
  <si>
    <t>East</t>
  </si>
  <si>
    <t>20/01/2024</t>
  </si>
  <si>
    <t>Card</t>
  </si>
  <si>
    <t>Pending</t>
  </si>
  <si>
    <t>E004</t>
  </si>
  <si>
    <t>Emeka Nwachukwu</t>
  </si>
  <si>
    <t>West</t>
  </si>
  <si>
    <t>Furniture</t>
  </si>
  <si>
    <t>2024/01/25</t>
  </si>
  <si>
    <t>COMPLETED</t>
  </si>
  <si>
    <t>E005</t>
  </si>
  <si>
    <t>fatima SULE</t>
  </si>
  <si>
    <t>Sales Dept</t>
  </si>
  <si>
    <t>02/02/2024</t>
  </si>
  <si>
    <t>card</t>
  </si>
  <si>
    <t>E006</t>
  </si>
  <si>
    <t>Chidi Okoro</t>
  </si>
  <si>
    <t>10/02/2024</t>
  </si>
  <si>
    <t>CASH</t>
  </si>
  <si>
    <t>Cancelled</t>
  </si>
  <si>
    <t>E007</t>
  </si>
  <si>
    <t>AMARA OBI</t>
  </si>
  <si>
    <t>sales</t>
  </si>
  <si>
    <t>18/02/2024</t>
  </si>
  <si>
    <t>E008</t>
  </si>
  <si>
    <t>Tunde Bello</t>
  </si>
  <si>
    <t>SALES DEPT</t>
  </si>
  <si>
    <t>Food &amp; Bev</t>
  </si>
  <si>
    <t>25/02/2024</t>
  </si>
  <si>
    <t>E009</t>
  </si>
  <si>
    <t>Ngozi Eze</t>
  </si>
  <si>
    <t>Marketing</t>
  </si>
  <si>
    <t>03/03/2024</t>
  </si>
  <si>
    <t>E010</t>
  </si>
  <si>
    <t>emeka nwachukwu</t>
  </si>
  <si>
    <t>2024/03/10</t>
  </si>
  <si>
    <t>E011</t>
  </si>
  <si>
    <t>Fatima Sule</t>
  </si>
  <si>
    <t>15/03/2024</t>
  </si>
  <si>
    <t>CANCELLED</t>
  </si>
  <si>
    <t>E012</t>
  </si>
  <si>
    <t>MARKETING</t>
  </si>
  <si>
    <t>20/03/2024</t>
  </si>
  <si>
    <t>E013</t>
  </si>
  <si>
    <t>amara Obi</t>
  </si>
  <si>
    <t>28/03/2024</t>
  </si>
  <si>
    <t>E014</t>
  </si>
  <si>
    <t>TUNDE BELLO</t>
  </si>
  <si>
    <t>sales dept</t>
  </si>
  <si>
    <t>E015</t>
  </si>
  <si>
    <t>05/04/2024</t>
  </si>
  <si>
    <t>E016</t>
  </si>
  <si>
    <t>12/04/2024</t>
  </si>
  <si>
    <t>E017</t>
  </si>
  <si>
    <t>fatima sule</t>
  </si>
  <si>
    <t>20/04/2024</t>
  </si>
  <si>
    <t>CARD</t>
  </si>
  <si>
    <t>Cancel</t>
  </si>
  <si>
    <t>E018</t>
  </si>
  <si>
    <t>2024/04/28</t>
  </si>
  <si>
    <t>cash</t>
  </si>
  <si>
    <t>E019</t>
  </si>
  <si>
    <t>Amara Obi</t>
  </si>
  <si>
    <t>02/05/2024</t>
  </si>
  <si>
    <t>E020</t>
  </si>
  <si>
    <t>10/05/2024</t>
  </si>
  <si>
    <t>E021</t>
  </si>
  <si>
    <t>NGOZI eze</t>
  </si>
  <si>
    <t>15/05/2024</t>
  </si>
  <si>
    <t>E022</t>
  </si>
  <si>
    <t>22/05/2024</t>
  </si>
  <si>
    <t>TRANSFER</t>
  </si>
  <si>
    <t>E023</t>
  </si>
  <si>
    <t>30/05/2024</t>
  </si>
  <si>
    <t>E024</t>
  </si>
  <si>
    <t>CHIDI OKORO</t>
  </si>
  <si>
    <t>05/06/2024</t>
  </si>
  <si>
    <t>E025</t>
  </si>
  <si>
    <t>amara obi</t>
  </si>
  <si>
    <t>12/06/2024</t>
  </si>
  <si>
    <t>E026</t>
  </si>
  <si>
    <t>18/06/2024</t>
  </si>
  <si>
    <t>E027</t>
  </si>
  <si>
    <t>25/06/2024</t>
  </si>
  <si>
    <t>E028</t>
  </si>
  <si>
    <t>emeka NWACHUKWU</t>
  </si>
  <si>
    <t>2024/07/02</t>
  </si>
  <si>
    <t>E029</t>
  </si>
  <si>
    <t>08/07/2024</t>
  </si>
  <si>
    <t>E030</t>
  </si>
  <si>
    <t>15/07/2024</t>
  </si>
  <si>
    <t>E031</t>
  </si>
  <si>
    <t>22/07/2024</t>
  </si>
  <si>
    <t>E032</t>
  </si>
  <si>
    <t>tunde bello</t>
  </si>
  <si>
    <t>29/07/2024</t>
  </si>
  <si>
    <t>E033</t>
  </si>
  <si>
    <t>05/08/2024</t>
  </si>
  <si>
    <t>PENDING</t>
  </si>
  <si>
    <t>E034</t>
  </si>
  <si>
    <t>12/08/2024</t>
  </si>
  <si>
    <t>E035</t>
  </si>
  <si>
    <t>19/08/2024</t>
  </si>
  <si>
    <t>E036</t>
  </si>
  <si>
    <t>26/08/2024</t>
  </si>
  <si>
    <t>E037</t>
  </si>
  <si>
    <t>02/09/2024</t>
  </si>
  <si>
    <t>E038</t>
  </si>
  <si>
    <t>TUNDE Bello</t>
  </si>
  <si>
    <t>09/09/2024</t>
  </si>
  <si>
    <t>E039</t>
  </si>
  <si>
    <t>ngozi eze</t>
  </si>
  <si>
    <t>2024/09/15</t>
  </si>
  <si>
    <t>E040</t>
  </si>
  <si>
    <t>20/09/2024</t>
  </si>
  <si>
    <t>E041</t>
  </si>
  <si>
    <t>27/09/2024</t>
  </si>
  <si>
    <t>N/A</t>
  </si>
  <si>
    <t>E042</t>
  </si>
  <si>
    <t>CHIDI okoro</t>
  </si>
  <si>
    <t>03/10/2024</t>
  </si>
  <si>
    <t>E043</t>
  </si>
  <si>
    <t>amara OBI</t>
  </si>
  <si>
    <t>10/10/2024</t>
  </si>
  <si>
    <t>E044</t>
  </si>
  <si>
    <t>17/10/2024</t>
  </si>
  <si>
    <t>E045</t>
  </si>
  <si>
    <t>24/10/2024</t>
  </si>
  <si>
    <t>E046</t>
  </si>
  <si>
    <t>emeka Nwachukwu</t>
  </si>
  <si>
    <t>31/10/2024</t>
  </si>
  <si>
    <t>E047</t>
  </si>
  <si>
    <t>2024/11/07</t>
  </si>
  <si>
    <t>E048</t>
  </si>
  <si>
    <t>14/11/2024</t>
  </si>
  <si>
    <t>E049</t>
  </si>
  <si>
    <t>AMARA obi</t>
  </si>
  <si>
    <t>21/11/2024</t>
  </si>
  <si>
    <t>E050</t>
  </si>
  <si>
    <t>28/11/2024</t>
  </si>
  <si>
    <t>E051</t>
  </si>
  <si>
    <t>05/12/2024</t>
  </si>
  <si>
    <t>E052</t>
  </si>
  <si>
    <t>12/12/2024</t>
  </si>
  <si>
    <t>E053</t>
  </si>
  <si>
    <t>FATIMA sule</t>
  </si>
  <si>
    <t>19/12/2024</t>
  </si>
  <si>
    <t>E054</t>
  </si>
  <si>
    <t>26/12/2024</t>
  </si>
  <si>
    <t>E055</t>
  </si>
  <si>
    <t>2024/12/30</t>
  </si>
  <si>
    <t>E056</t>
  </si>
  <si>
    <t>03/01/2025</t>
  </si>
  <si>
    <t>E057</t>
  </si>
  <si>
    <t>NGOZI EZE</t>
  </si>
  <si>
    <t>10/01/2025</t>
  </si>
  <si>
    <t>E058</t>
  </si>
  <si>
    <t>17/01/2025</t>
  </si>
  <si>
    <t>E059</t>
  </si>
  <si>
    <t>24/01/2025</t>
  </si>
  <si>
    <t>E060</t>
  </si>
  <si>
    <t>31/01/2025</t>
  </si>
  <si>
    <t>E061</t>
  </si>
  <si>
    <t>07/02/2025</t>
  </si>
  <si>
    <t>E062</t>
  </si>
  <si>
    <t>tunde BELLO</t>
  </si>
  <si>
    <t>14/02/2025</t>
  </si>
  <si>
    <t>transfer</t>
  </si>
  <si>
    <t>E063</t>
  </si>
  <si>
    <t>21/02/2025</t>
  </si>
  <si>
    <t>cancel</t>
  </si>
  <si>
    <t>E064</t>
  </si>
  <si>
    <t>2025/02/28</t>
  </si>
  <si>
    <t>E065</t>
  </si>
  <si>
    <t>07/03/2025</t>
  </si>
  <si>
    <t>E066</t>
  </si>
  <si>
    <t>14/03/2025</t>
  </si>
  <si>
    <t>E067</t>
  </si>
  <si>
    <t>21/03/2025</t>
  </si>
  <si>
    <t>E068</t>
  </si>
  <si>
    <t>28/03/2025</t>
  </si>
  <si>
    <t>E069</t>
  </si>
  <si>
    <t>04/04/2025</t>
  </si>
  <si>
    <t>E070</t>
  </si>
  <si>
    <t>11/04/2025</t>
  </si>
  <si>
    <t>cancelled</t>
  </si>
  <si>
    <t>E071</t>
  </si>
  <si>
    <t>FATIMA SULE</t>
  </si>
  <si>
    <t>18/04/2025</t>
  </si>
  <si>
    <t>E072</t>
  </si>
  <si>
    <t>25/04/2025</t>
  </si>
  <si>
    <t>E073</t>
  </si>
  <si>
    <t>02/05/2025</t>
  </si>
  <si>
    <t>E074</t>
  </si>
  <si>
    <t>09/05/2025</t>
  </si>
  <si>
    <t>E075</t>
  </si>
  <si>
    <t>16/05/2025</t>
  </si>
  <si>
    <t>STUDENT ASSIGNMENT  —  Data Cleaning &amp; Analysis with Excel</t>
  </si>
  <si>
    <t>Dataset: Employee Sales Records  |  75 rows  |  File: Employee_Sales_Data sheet</t>
  </si>
  <si>
    <t>Open the 'Employee_Sales_Data' sheet. It contains 75 rows of real-world messy sales records. Your job is to clean it, format it properly, and apply formulas — just like a data analyst would do on the job. Work through each module below in order. Do NOT delete columns — only fix and add to the data.</t>
  </si>
  <si>
    <t>#</t>
  </si>
  <si>
    <t>Task</t>
  </si>
  <si>
    <t>What To Do</t>
  </si>
  <si>
    <t>MODULE 1  —  Data Formatting &amp; Validation</t>
  </si>
  <si>
    <t>1.1</t>
  </si>
  <si>
    <t>Fix column headers</t>
  </si>
  <si>
    <t>The column headers in Row 1 are inconsistently named — some are in ALL CAPS, some in lowercase, and some have incorrect spacing. Rename all headers so they are consistent, properly capitalised, and clearly readable.</t>
  </si>
  <si>
    <t>1.2</t>
  </si>
  <si>
    <t>Format the Date column</t>
  </si>
  <si>
    <t>The Date of Sale column contains dates in two different formats. Some entries are in DD/MM/YYYY and others are in YYYY/MM/DD. Correct all dates so they follow the same format, then apply a consistent date display format across the entire column.</t>
  </si>
  <si>
    <t>1.3</t>
  </si>
  <si>
    <t>Format the currency columns</t>
  </si>
  <si>
    <t>Apply appropriate number formatting to the Unit Price and Total Revenue columns so that values display with a thousand separator and no decimal places. Also format the header row with a bold, clearly visible style to distinguish it from the data rows.</t>
  </si>
  <si>
    <t>1.4</t>
  </si>
  <si>
    <t>Add Data Validation to Order Status</t>
  </si>
  <si>
    <t>The Order Status column should only accept three values: Completed, Pending, and Cancelled. Apply data validation to the entire Order Status column so that only those three values can be entered.</t>
  </si>
  <si>
    <t>1.5</t>
  </si>
  <si>
    <t>Add Data Validation to Payment Method</t>
  </si>
  <si>
    <t>The Payment Method column should only accept three values: Cash, Card, and Transfer. Apply data validation to the entire Payment Method column to restrict entries to those three options only.</t>
  </si>
  <si>
    <t>MODULE 2  —  Sorting &amp; Filtering</t>
  </si>
  <si>
    <t>2.1</t>
  </si>
  <si>
    <t>Sort by Qty Sold</t>
  </si>
  <si>
    <t>Sort the entire dataset by the Qty Sold column from the largest value to the smallest. Once sorted, note the name of the employee with the highest single-transaction quantity and record it in cell F80, with the label 'Highest sale by:' in cell E80.</t>
  </si>
  <si>
    <t>2.2</t>
  </si>
  <si>
    <t>Multi-level sort</t>
  </si>
  <si>
    <t>Sort the data on two levels: first by Region from A to Z, then within each region by Qty Sold from the largest to the smallest. This allows you to see the top-performing employee in each region.</t>
  </si>
  <si>
    <t>2.3</t>
  </si>
  <si>
    <t>Filter: Completed sales only</t>
  </si>
  <si>
    <t>Apply a filter to the dataset to display only rows where the Order Status is Completed. Count the number of visible rows and record that number in cell F82, with the label 'Completed orders:' in cell E82.</t>
  </si>
  <si>
    <t>2.4</t>
  </si>
  <si>
    <t>Filter: Specific region and department</t>
  </si>
  <si>
    <t>With the filter active, further narrow the results to show only records where Region is North and Department is Sales. Count how many records match and record that number in cell F84, with the label in cell E84. Then remove all filters.</t>
  </si>
  <si>
    <t>2.5</t>
  </si>
  <si>
    <t>Filter: Negative quantities</t>
  </si>
  <si>
    <t>Apply a filter on the Qty Sold column to show only rows with negative values. Record the row numbers or employee names of those entries in cell F86, with the label 'Negative qty rows:' in cell E86. Then remove the filter.</t>
  </si>
  <si>
    <t>MODULE 3  —  Handling Missing Values &amp; Inconsistent Data</t>
  </si>
  <si>
    <t>3.1</t>
  </si>
  <si>
    <t>Find all blank cells</t>
  </si>
  <si>
    <t>Select the entire dataset and use Excel's built-in feature to locate and highlight all empty cells. Count the total number of blank cells you find and write that number in cell F88, with the label 'Total blanks found:' in cell E88. Do not fill them yet.</t>
  </si>
  <si>
    <t>3.2</t>
  </si>
  <si>
    <t>Fix blank Qty Sold cells</t>
  </si>
  <si>
    <t>The Qty Sold column contains several blank cells where the quantity was not recorded. Fill all blank cells in the Qty Sold column with the value 0.</t>
  </si>
  <si>
    <t>3.3</t>
  </si>
  <si>
    <t>Fix inconsistent Order Status values</t>
  </si>
  <si>
    <t>The Order Status column contains many variations of the same three values — for example: 'completed', 'COMPLETED', 'Complete', 'Cancel', 'cancel', and 'CANCELLED'. Standardise all entries so the column contains only three exact values: Completed, Pending, and Cancelled.</t>
  </si>
  <si>
    <t>3.4</t>
  </si>
  <si>
    <t>Fix inconsistent Department names</t>
  </si>
  <si>
    <t>The Department column contains multiple variations of what should be three departments: 'Sales', 'Marketing', and 'Operations'. All entries written as 'Sales Dept', 'SALES DEPT', 'sales dept', 'SALES', 'sales', etc. should be corrected to 'Sales'. Standardise the entire column to use only: Sales, Marketing, Operations.</t>
  </si>
  <si>
    <t>3.5</t>
  </si>
  <si>
    <t>Fix inconsistent Payment Method and Employee Names</t>
  </si>
  <si>
    <t>The Payment Method column has the same value written in different cases — for example 'Cash', 'CASH', and 'cash'. Standardise all entries to: Cash, Card, and Transfer. The Employee Name column also has names entered inconsistently — for example 'TUNDE bello', 'amara OBI', 'ngozi EZE'. Correct all names so they are written in proper consistent format.</t>
  </si>
  <si>
    <t>3.6</t>
  </si>
  <si>
    <t>Handle the Discount column</t>
  </si>
  <si>
    <t>The Discount column contains a mix of numeric values, blank cells, and entries with the text 'N/A'. Replace all 'N/A' text entries with the value 0. Fill any remaining blank cells with 0 as well. Then apply a consistent number format to the entire column.</t>
  </si>
  <si>
    <t>3.7</t>
  </si>
  <si>
    <t>Fix negative Qty Sold values</t>
  </si>
  <si>
    <t>Some rows in the Qty Sold column contain negative numbers, which are data entry errors — it is not possible to sell a negative quantity. Identify all negative values and correct them to their positive equivalent.</t>
  </si>
  <si>
    <t>MODULE 4  —  Excel Formulas</t>
  </si>
  <si>
    <t>4.1</t>
  </si>
  <si>
    <t>Calculate Total Revenue</t>
  </si>
  <si>
    <t>The Total Revenue column is completely empty. Write a formula in the first data row of that column that multiplies Qty Sold by Unit Price. Then copy that formula down to cover all 75 rows of data.</t>
  </si>
  <si>
    <t>4.2</t>
  </si>
  <si>
    <t>SUM formula</t>
  </si>
  <si>
    <t>Below the dataset, add a label 'TOTAL REVENUE:' and beside it write a formula that sums all values in the Total Revenue column. Format the result as a number with a thousand separator.</t>
  </si>
  <si>
    <t>4.3</t>
  </si>
  <si>
    <t>AVERAGE formula</t>
  </si>
  <si>
    <t>Add a label 'AVERAGE QTY SOLD:' below the data and beside it write a formula that calculates the average of the entire Qty Sold column, rounded to 1 decimal place.</t>
  </si>
  <si>
    <t>4.4</t>
  </si>
  <si>
    <t>COUNT and COUNTA</t>
  </si>
  <si>
    <t>Add a label 'TOTAL TRANSACTIONS:' and write a formula that counts the number of numeric entries in the Qty Sold column. On a separate row, add a label 'TOTAL EMPLOYEE ENTRIES:' and write a formula that counts all non-empty cells in the Employee Name column.</t>
  </si>
  <si>
    <t>4.5</t>
  </si>
  <si>
    <t>IF formula — Flag high-value orders</t>
  </si>
  <si>
    <t>Add a new column to the right of the dataset with the header 'High Value Order'. Write an IF formula in the first data row that displays 'Yes' if the Total Revenue for that row is greater than 500,000, and 'No' if it is not. Copy the formula down to all 75 rows.</t>
  </si>
  <si>
    <t>4.6</t>
  </si>
  <si>
    <t>COUNTIF formula</t>
  </si>
  <si>
    <t>Below the dataset, add a label 'COMPLETED ORDERS:' and write a COUNTIF formula that counts the number of rows in the Order Status column where the value is Completed. On a separate row, do the same for Cancelled orders.</t>
  </si>
  <si>
    <t>4.7</t>
  </si>
  <si>
    <t>SUMIF formula</t>
  </si>
  <si>
    <t>Add a label 'NORTH REGION REVENUE:' and write a SUMIF formula that totals the revenue for all sales where the Region is North. On a separate row, add 'ELECTRONICS REVENUE:' and write a SUMIF formula that totals the revenue for all sales in the Electronics product category.</t>
  </si>
  <si>
    <t>📌  SUBMISSION: Save this file as  YourName_Excel_Assignment.xlsx  and submit to your instructor. Make sure ALL your work is saved in the 'Employee_Sales_Data' sheet. Do not delete any original data.</t>
  </si>
  <si>
    <t>Row Labels</t>
  </si>
  <si>
    <t>Grand Total</t>
  </si>
  <si>
    <t>Sum of Unit price</t>
  </si>
  <si>
    <t>Sum of Total Revenue</t>
  </si>
  <si>
    <t>Sum of Qty Sold</t>
  </si>
  <si>
    <t>Column Labels</t>
  </si>
  <si>
    <t>Count of Emp ID</t>
  </si>
  <si>
    <t>1. Furniture generated the highest revenue, contributing approximately ₦4.85 million, making it the strongest-performing product category.</t>
  </si>
  <si>
    <t>3. Most orders were completed successfully, with 512 completed orders out of 599 total orders, while only 28 were cancelled and 11 were marked as cancelled. This indicates a relatively high order-completion rate.</t>
  </si>
  <si>
    <t>FINDINGS</t>
  </si>
  <si>
    <t>2.The East region recorded the highest total revenue, at approximately ₦4.11 million, while the West recorded the lowest at approximately ₦1.72 million,</t>
  </si>
  <si>
    <t>RECOMMENDATIONS</t>
  </si>
  <si>
    <t>* Increase focus on Furniture, since it generated the highest revenue.</t>
  </si>
  <si>
    <t>* Investigate the West region’s lower performance and identify ways to improve sales there.</t>
  </si>
  <si>
    <t>* Maintain/improve order completion, while investigating the small number of cancelled orders to understand why they occurred.</t>
  </si>
  <si>
    <t>28/02/2024</t>
  </si>
  <si>
    <t>Employee Name</t>
  </si>
  <si>
    <t>Department</t>
  </si>
  <si>
    <t>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</si>
</sst>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4" x14ac:knownFonts="1">
    <font>
      <sz val="11"/>
      <name val="Calibri"/>
      <scheme val="minor"/>
    </font>
    <font>
      <b/>
      <sz val="16"/>
      <color rgb="FFFFFFFF"/>
      <name val="Calibri"/>
      <family val="2"/>
    </font>
    <font>
      <sz val="11"/>
      <name val="Calibri"/>
      <family val="2"/>
    </font>
    <font>
      <i/>
      <sz val="11"/>
      <color rgb="FF2E75B6"/>
      <name val="Calibri"/>
      <family val="2"/>
    </font>
    <font>
      <sz val="11"/>
      <color rgb="FF333333"/>
      <name val="Calibri"/>
      <family val="2"/>
    </font>
    <font>
      <sz val="11"/>
      <name val="Calibri"/>
      <family val="2"/>
    </font>
    <font>
      <b/>
      <sz val="11"/>
      <color rgb="FFFFFFFF"/>
      <name val="Calibri"/>
      <family val="2"/>
    </font>
    <font>
      <b/>
      <sz val="12"/>
      <color rgb="FFFFFFFF"/>
      <name val="Calibri"/>
      <family val="2"/>
    </font>
    <font>
      <b/>
      <sz val="11"/>
      <color rgb="FF222222"/>
      <name val="Calibri"/>
      <family val="2"/>
    </font>
    <font>
      <b/>
      <sz val="11"/>
      <color rgb="FF1F4E79"/>
      <name val="Calibri"/>
      <family val="2"/>
    </font>
    <font>
      <sz val="11"/>
      <color rgb="FF222222"/>
      <name val="Calibri"/>
      <family val="2"/>
    </font>
    <font>
      <b/>
      <sz val="11"/>
      <color rgb="FF7B2D00"/>
      <name val="Calibri"/>
      <family val="2"/>
    </font>
    <font>
      <sz val="11"/>
      <name val="Calibri"/>
      <family val="2"/>
      <scheme val="minor"/>
    </font>
    <font>
      <b/>
      <sz val="11"/>
      <name val="Calibri"/>
      <family val="2"/>
      <scheme val="minor"/>
    </font>
  </fonts>
  <fills count="8">
    <fill>
      <patternFill patternType="none"/>
    </fill>
    <fill>
      <patternFill patternType="gray125"/>
    </fill>
    <fill>
      <patternFill patternType="solid">
        <fgColor rgb="FF1F4E79"/>
        <bgColor rgb="FF1F4E79"/>
      </patternFill>
    </fill>
    <fill>
      <patternFill patternType="solid">
        <fgColor rgb="FFD6E4F0"/>
        <bgColor rgb="FFD6E4F0"/>
      </patternFill>
    </fill>
    <fill>
      <patternFill patternType="solid">
        <fgColor rgb="FFF5F5F5"/>
        <bgColor rgb="FFF5F5F5"/>
      </patternFill>
    </fill>
    <fill>
      <patternFill patternType="solid">
        <fgColor rgb="FF2E75B6"/>
        <bgColor rgb="FF2E75B6"/>
      </patternFill>
    </fill>
    <fill>
      <patternFill patternType="solid">
        <fgColor rgb="FFFFFFFF"/>
        <bgColor rgb="FFFFFFFF"/>
      </patternFill>
    </fill>
    <fill>
      <patternFill patternType="solid">
        <fgColor rgb="FFFFF9C4"/>
        <bgColor rgb="FFFFF9C4"/>
      </patternFill>
    </fill>
  </fills>
  <borders count="5">
    <border>
      <left/>
      <right/>
      <top/>
      <bottom/>
      <diagonal/>
    </border>
    <border>
      <left/>
      <right/>
      <top/>
      <bottom/>
      <diagonal/>
    </border>
    <border>
      <left/>
      <right/>
      <top/>
      <bottom/>
      <diagonal/>
    </border>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applyFont="1" applyAlignment="1"/>
    <xf numFmtId="0" fontId="6" fillId="5" borderId="4" xfId="0" applyFont="1" applyFill="1" applyBorder="1" applyAlignment="1">
      <alignment horizontal="left" vertical="center" wrapText="1"/>
    </xf>
    <xf numFmtId="0" fontId="8" fillId="3" borderId="4" xfId="0" applyFont="1" applyFill="1" applyBorder="1" applyAlignment="1">
      <alignment horizontal="center" vertical="center" wrapText="1"/>
    </xf>
    <xf numFmtId="0" fontId="9" fillId="3" borderId="4" xfId="0" applyFont="1" applyFill="1" applyBorder="1" applyAlignment="1">
      <alignment horizontal="left" vertical="center" wrapText="1"/>
    </xf>
    <xf numFmtId="0" fontId="10" fillId="3" borderId="4" xfId="0" applyFont="1" applyFill="1" applyBorder="1" applyAlignment="1">
      <alignment horizontal="left" vertical="center" wrapText="1"/>
    </xf>
    <xf numFmtId="0" fontId="8" fillId="6" borderId="4" xfId="0" applyFont="1" applyFill="1" applyBorder="1" applyAlignment="1">
      <alignment horizontal="center" vertical="center" wrapText="1"/>
    </xf>
    <xf numFmtId="0" fontId="9" fillId="6" borderId="4" xfId="0" applyFont="1" applyFill="1" applyBorder="1" applyAlignment="1">
      <alignment horizontal="left" vertical="center" wrapText="1"/>
    </xf>
    <xf numFmtId="0" fontId="10" fillId="6" borderId="4" xfId="0" applyFont="1" applyFill="1" applyBorder="1" applyAlignment="1">
      <alignment horizontal="left" vertical="center" wrapText="1"/>
    </xf>
    <xf numFmtId="0" fontId="0" fillId="0" borderId="0" xfId="0" pivotButton="1" applyFont="1" applyAlignment="1"/>
    <xf numFmtId="0" fontId="0" fillId="0" borderId="0" xfId="0" applyFont="1" applyAlignment="1">
      <alignment horizontal="left"/>
    </xf>
    <xf numFmtId="164" fontId="0" fillId="0" borderId="0" xfId="0" applyNumberFormat="1" applyFont="1" applyAlignment="1"/>
    <xf numFmtId="0" fontId="0" fillId="0" borderId="0" xfId="0" applyFont="1" applyAlignment="1"/>
    <xf numFmtId="0" fontId="12" fillId="0" borderId="0" xfId="0" applyFont="1" applyAlignment="1"/>
    <xf numFmtId="0" fontId="0" fillId="0" borderId="0" xfId="0" applyFont="1" applyAlignment="1"/>
    <xf numFmtId="0" fontId="0" fillId="0" borderId="0" xfId="0" applyFont="1" applyAlignment="1"/>
    <xf numFmtId="0" fontId="13" fillId="0" borderId="0" xfId="0" applyFont="1" applyAlignment="1"/>
    <xf numFmtId="0" fontId="0" fillId="0" borderId="0" xfId="0" applyNumberFormat="1" applyFont="1" applyAlignment="1"/>
    <xf numFmtId="0" fontId="3" fillId="3" borderId="1" xfId="0" applyFont="1" applyFill="1" applyBorder="1" applyAlignment="1">
      <alignment horizontal="center" vertical="center"/>
    </xf>
    <xf numFmtId="0" fontId="2" fillId="0" borderId="2" xfId="0" applyFont="1" applyBorder="1"/>
    <xf numFmtId="0" fontId="2" fillId="0" borderId="3" xfId="0" applyFont="1" applyBorder="1"/>
    <xf numFmtId="0" fontId="1" fillId="2" borderId="1" xfId="0" applyFont="1" applyFill="1" applyBorder="1" applyAlignment="1">
      <alignment horizontal="center" vertical="center"/>
    </xf>
    <xf numFmtId="0" fontId="7" fillId="2" borderId="1" xfId="0" applyFont="1" applyFill="1" applyBorder="1" applyAlignment="1">
      <alignment horizontal="left" vertical="center"/>
    </xf>
    <xf numFmtId="0" fontId="11" fillId="7" borderId="1" xfId="0" applyFont="1" applyFill="1" applyBorder="1" applyAlignment="1">
      <alignment horizontal="left" vertical="center" wrapText="1"/>
    </xf>
    <xf numFmtId="0" fontId="5" fillId="0" borderId="0" xfId="0" applyFont="1"/>
    <xf numFmtId="0" fontId="0" fillId="0" borderId="0" xfId="0" applyFont="1" applyAlignment="1"/>
    <xf numFmtId="0" fontId="4" fillId="4" borderId="1" xfId="0" applyFont="1" applyFill="1" applyBorder="1" applyAlignment="1">
      <alignment horizontal="left" vertical="center" wrapText="1"/>
    </xf>
  </cellXfs>
  <cellStyles count="1">
    <cellStyle name="Normal" xfId="0" builtinId="0"/>
  </cellStyles>
  <dxfs count="21">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auto="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0" formatCode="General"/>
      <alignment horizontal="general" vertical="bottom" textRotation="0" wrapText="0"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Dashboard.xlsx]Analysis!PivotTable1</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solidFill>
                  <a:schemeClr val="dk1"/>
                </a:solidFill>
                <a:latin typeface="+mn-lt"/>
                <a:ea typeface="+mn-ea"/>
                <a:cs typeface="+mn-cs"/>
              </a:rPr>
              <a:t>PRODUCT</a:t>
            </a:r>
            <a:r>
              <a:rPr lang="en-US" b="1" baseline="0">
                <a:solidFill>
                  <a:schemeClr val="dk1"/>
                </a:solidFill>
                <a:latin typeface="+mn-lt"/>
                <a:ea typeface="+mn-ea"/>
                <a:cs typeface="+mn-cs"/>
              </a:rPr>
              <a:t> BY UNIT PRICE</a:t>
            </a:r>
            <a:endParaRPr lang="en-US" b="1"/>
          </a:p>
        </c:rich>
      </c:tx>
      <c:overlay val="0"/>
      <c:spPr>
        <a:solidFill>
          <a:schemeClr val="lt1"/>
        </a:solidFill>
        <a:ln w="25400" cap="flat" cmpd="sng" algn="ctr">
          <a:solidFill>
            <a:schemeClr val="dk1"/>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D8-426D-9520-50AD4B0743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D8-426D-9520-50AD4B0743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D8-426D-9520-50AD4B0743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D8-426D-9520-50AD4B07435C}"/>
              </c:ext>
            </c:extLst>
          </c:dPt>
          <c:cat>
            <c:strRef>
              <c:f>Analysis!$A$4:$A$8</c:f>
              <c:strCache>
                <c:ptCount val="4"/>
                <c:pt idx="0">
                  <c:v>Clothing</c:v>
                </c:pt>
                <c:pt idx="1">
                  <c:v>Electronics</c:v>
                </c:pt>
                <c:pt idx="2">
                  <c:v>Food &amp; Bev</c:v>
                </c:pt>
                <c:pt idx="3">
                  <c:v>Furniture</c:v>
                </c:pt>
              </c:strCache>
            </c:strRef>
          </c:cat>
          <c:val>
            <c:numRef>
              <c:f>Analysis!$B$4:$B$8</c:f>
              <c:numCache>
                <c:formatCode>_(* #,##0_);_(* \(#,##0\);_(* "-"??_);_(@_)</c:formatCode>
                <c:ptCount val="4"/>
                <c:pt idx="0">
                  <c:v>228000</c:v>
                </c:pt>
                <c:pt idx="1">
                  <c:v>1340000</c:v>
                </c:pt>
                <c:pt idx="2">
                  <c:v>144500</c:v>
                </c:pt>
                <c:pt idx="3">
                  <c:v>1805000</c:v>
                </c:pt>
              </c:numCache>
            </c:numRef>
          </c:val>
          <c:extLst>
            <c:ext xmlns:c16="http://schemas.microsoft.com/office/drawing/2014/chart" uri="{C3380CC4-5D6E-409C-BE32-E72D297353CC}">
              <c16:uniqueId val="{00000008-2BD8-426D-9520-50AD4B07435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Dashboard.xlsx]Analysis!PivotTable3</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EMPLOYEE</a:t>
            </a:r>
            <a:r>
              <a:rPr lang="en-US" baseline="0">
                <a:solidFill>
                  <a:schemeClr val="dk1"/>
                </a:solidFill>
                <a:latin typeface="+mn-lt"/>
                <a:ea typeface="+mn-ea"/>
                <a:cs typeface="+mn-cs"/>
              </a:rPr>
              <a:t> SALES</a:t>
            </a:r>
            <a:endParaRPr lang="en-US"/>
          </a:p>
        </c:rich>
      </c:tx>
      <c:overlay val="0"/>
      <c:spPr>
        <a:solidFill>
          <a:schemeClr val="lt1"/>
        </a:solidFill>
        <a:ln w="25400" cap="flat" cmpd="sng" algn="ctr">
          <a:solidFill>
            <a:schemeClr val="dk1"/>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Analysis!$E$3</c:f>
              <c:strCache>
                <c:ptCount val="1"/>
                <c:pt idx="0">
                  <c:v>Sum of Qty Sold</c:v>
                </c:pt>
              </c:strCache>
            </c:strRef>
          </c:tx>
          <c:spPr>
            <a:solidFill>
              <a:schemeClr val="accent1"/>
            </a:solidFill>
            <a:ln>
              <a:noFill/>
            </a:ln>
            <a:effectLst/>
          </c:spPr>
          <c:invertIfNegative val="0"/>
          <c:cat>
            <c:strRef>
              <c:f>Analysis!$D$4:$D$10</c:f>
              <c:strCache>
                <c:ptCount val="6"/>
                <c:pt idx="0">
                  <c:v>Amara obi</c:v>
                </c:pt>
                <c:pt idx="1">
                  <c:v>Chidi Okoro</c:v>
                </c:pt>
                <c:pt idx="2">
                  <c:v>Emeka Nwachukwu</c:v>
                </c:pt>
                <c:pt idx="3">
                  <c:v>fatima SULE</c:v>
                </c:pt>
                <c:pt idx="4">
                  <c:v>ngozi EZE</c:v>
                </c:pt>
                <c:pt idx="5">
                  <c:v>TUNDE bello</c:v>
                </c:pt>
              </c:strCache>
            </c:strRef>
          </c:cat>
          <c:val>
            <c:numRef>
              <c:f>Analysis!$E$4:$E$10</c:f>
              <c:numCache>
                <c:formatCode>_(* #,##0_);_(* \(#,##0\);_(* "-"??_);_(@_)</c:formatCode>
                <c:ptCount val="6"/>
                <c:pt idx="0">
                  <c:v>20</c:v>
                </c:pt>
                <c:pt idx="1">
                  <c:v>201</c:v>
                </c:pt>
                <c:pt idx="2">
                  <c:v>127</c:v>
                </c:pt>
                <c:pt idx="3">
                  <c:v>46</c:v>
                </c:pt>
                <c:pt idx="4">
                  <c:v>26</c:v>
                </c:pt>
                <c:pt idx="5">
                  <c:v>179</c:v>
                </c:pt>
              </c:numCache>
            </c:numRef>
          </c:val>
          <c:extLst>
            <c:ext xmlns:c16="http://schemas.microsoft.com/office/drawing/2014/chart" uri="{C3380CC4-5D6E-409C-BE32-E72D297353CC}">
              <c16:uniqueId val="{00000000-8A92-4BE3-8A00-FBA156D4329E}"/>
            </c:ext>
          </c:extLst>
        </c:ser>
        <c:ser>
          <c:idx val="1"/>
          <c:order val="1"/>
          <c:tx>
            <c:strRef>
              <c:f>Analysis!$F$3</c:f>
              <c:strCache>
                <c:ptCount val="1"/>
                <c:pt idx="0">
                  <c:v>Sum of Total Revenue</c:v>
                </c:pt>
              </c:strCache>
            </c:strRef>
          </c:tx>
          <c:spPr>
            <a:solidFill>
              <a:schemeClr val="accent2"/>
            </a:solidFill>
            <a:ln>
              <a:noFill/>
            </a:ln>
            <a:effectLst/>
          </c:spPr>
          <c:invertIfNegative val="0"/>
          <c:cat>
            <c:strRef>
              <c:f>Analysis!$D$4:$D$10</c:f>
              <c:strCache>
                <c:ptCount val="6"/>
                <c:pt idx="0">
                  <c:v>Amara obi</c:v>
                </c:pt>
                <c:pt idx="1">
                  <c:v>Chidi Okoro</c:v>
                </c:pt>
                <c:pt idx="2">
                  <c:v>Emeka Nwachukwu</c:v>
                </c:pt>
                <c:pt idx="3">
                  <c:v>fatima SULE</c:v>
                </c:pt>
                <c:pt idx="4">
                  <c:v>ngozi EZE</c:v>
                </c:pt>
                <c:pt idx="5">
                  <c:v>TUNDE bello</c:v>
                </c:pt>
              </c:strCache>
            </c:strRef>
          </c:cat>
          <c:val>
            <c:numRef>
              <c:f>Analysis!$F$4:$F$10</c:f>
              <c:numCache>
                <c:formatCode>_(* #,##0_);_(* \(#,##0\);_(* "-"??_);_(@_)</c:formatCode>
                <c:ptCount val="6"/>
                <c:pt idx="0">
                  <c:v>975000</c:v>
                </c:pt>
                <c:pt idx="1">
                  <c:v>2140500</c:v>
                </c:pt>
                <c:pt idx="2">
                  <c:v>1718000</c:v>
                </c:pt>
                <c:pt idx="3">
                  <c:v>2790000</c:v>
                </c:pt>
                <c:pt idx="4">
                  <c:v>1972000</c:v>
                </c:pt>
                <c:pt idx="5">
                  <c:v>1915500</c:v>
                </c:pt>
              </c:numCache>
            </c:numRef>
          </c:val>
          <c:extLst>
            <c:ext xmlns:c16="http://schemas.microsoft.com/office/drawing/2014/chart" uri="{C3380CC4-5D6E-409C-BE32-E72D297353CC}">
              <c16:uniqueId val="{00000001-8A92-4BE3-8A00-FBA156D4329E}"/>
            </c:ext>
          </c:extLst>
        </c:ser>
        <c:dLbls>
          <c:showLegendKey val="0"/>
          <c:showVal val="0"/>
          <c:showCatName val="0"/>
          <c:showSerName val="0"/>
          <c:showPercent val="0"/>
          <c:showBubbleSize val="0"/>
        </c:dLbls>
        <c:gapWidth val="219"/>
        <c:overlap val="-27"/>
        <c:axId val="1076150336"/>
        <c:axId val="1076152000"/>
      </c:barChart>
      <c:catAx>
        <c:axId val="107615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152000"/>
        <c:crosses val="autoZero"/>
        <c:auto val="1"/>
        <c:lblAlgn val="ctr"/>
        <c:lblOffset val="100"/>
        <c:noMultiLvlLbl val="0"/>
      </c:catAx>
      <c:valAx>
        <c:axId val="107615200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15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Dashboard.xlsx]Analysis!PivotTable7</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PRODUCT</a:t>
            </a:r>
            <a:r>
              <a:rPr lang="en-US" baseline="0">
                <a:solidFill>
                  <a:schemeClr val="dk1"/>
                </a:solidFill>
                <a:latin typeface="+mn-lt"/>
                <a:ea typeface="+mn-ea"/>
                <a:cs typeface="+mn-cs"/>
              </a:rPr>
              <a:t> SALES </a:t>
            </a:r>
            <a:endParaRPr lang="en-US"/>
          </a:p>
        </c:rich>
      </c:tx>
      <c:overlay val="0"/>
      <c:spPr>
        <a:solidFill>
          <a:schemeClr val="lt1"/>
        </a:solidFill>
        <a:ln w="25400" cap="flat" cmpd="sng" algn="ctr">
          <a:solidFill>
            <a:schemeClr val="dk1"/>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Analysis!$I$3</c:f>
              <c:strCache>
                <c:ptCount val="1"/>
                <c:pt idx="0">
                  <c:v>Total</c:v>
                </c:pt>
              </c:strCache>
            </c:strRef>
          </c:tx>
          <c:spPr>
            <a:solidFill>
              <a:schemeClr val="accent1"/>
            </a:solidFill>
            <a:ln>
              <a:noFill/>
            </a:ln>
            <a:effectLst/>
          </c:spPr>
          <c:invertIfNegative val="0"/>
          <c:cat>
            <c:strRef>
              <c:f>Analysis!$H$4:$H$8</c:f>
              <c:strCache>
                <c:ptCount val="4"/>
                <c:pt idx="0">
                  <c:v>Clothing</c:v>
                </c:pt>
                <c:pt idx="1">
                  <c:v>Electronics</c:v>
                </c:pt>
                <c:pt idx="2">
                  <c:v>Food &amp; Bev</c:v>
                </c:pt>
                <c:pt idx="3">
                  <c:v>Furniture</c:v>
                </c:pt>
              </c:strCache>
            </c:strRef>
          </c:cat>
          <c:val>
            <c:numRef>
              <c:f>Analysis!$I$4:$I$8</c:f>
              <c:numCache>
                <c:formatCode>_(* #,##0_);_(* \(#,##0\);_(* "-"??_);_(@_)</c:formatCode>
                <c:ptCount val="4"/>
                <c:pt idx="0">
                  <c:v>152</c:v>
                </c:pt>
                <c:pt idx="1">
                  <c:v>24</c:v>
                </c:pt>
                <c:pt idx="2">
                  <c:v>372</c:v>
                </c:pt>
                <c:pt idx="3">
                  <c:v>51</c:v>
                </c:pt>
              </c:numCache>
            </c:numRef>
          </c:val>
          <c:extLst>
            <c:ext xmlns:c16="http://schemas.microsoft.com/office/drawing/2014/chart" uri="{C3380CC4-5D6E-409C-BE32-E72D297353CC}">
              <c16:uniqueId val="{00000000-71D2-4D3D-A5E7-FEAD5A496E7C}"/>
            </c:ext>
          </c:extLst>
        </c:ser>
        <c:dLbls>
          <c:showLegendKey val="0"/>
          <c:showVal val="0"/>
          <c:showCatName val="0"/>
          <c:showSerName val="0"/>
          <c:showPercent val="0"/>
          <c:showBubbleSize val="0"/>
        </c:dLbls>
        <c:gapWidth val="182"/>
        <c:axId val="804917200"/>
        <c:axId val="804915952"/>
      </c:barChart>
      <c:catAx>
        <c:axId val="804917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915952"/>
        <c:crosses val="autoZero"/>
        <c:auto val="1"/>
        <c:lblAlgn val="ctr"/>
        <c:lblOffset val="100"/>
        <c:noMultiLvlLbl val="0"/>
      </c:catAx>
      <c:valAx>
        <c:axId val="80491595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917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Dashboard.xlsx]Analysis!PivotTable5</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PRODUCT</a:t>
            </a:r>
            <a:r>
              <a:rPr lang="en-US" baseline="0">
                <a:solidFill>
                  <a:schemeClr val="dk1"/>
                </a:solidFill>
                <a:latin typeface="+mn-lt"/>
                <a:ea typeface="+mn-ea"/>
                <a:cs typeface="+mn-cs"/>
              </a:rPr>
              <a:t> BY REGION</a:t>
            </a:r>
          </a:p>
          <a:p>
            <a:pPr>
              <a:defRPr>
                <a:solidFill>
                  <a:schemeClr val="dk1"/>
                </a:solidFill>
              </a:defRPr>
            </a:pPr>
            <a:endParaRPr lang="en-US"/>
          </a:p>
        </c:rich>
      </c:tx>
      <c:overlay val="0"/>
      <c:spPr>
        <a:solidFill>
          <a:schemeClr val="lt1"/>
        </a:solidFill>
        <a:ln w="25400" cap="flat" cmpd="sng" algn="ctr">
          <a:solidFill>
            <a:schemeClr val="dk1"/>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Analysis!$B$12:$B$13</c:f>
              <c:strCache>
                <c:ptCount val="1"/>
                <c:pt idx="0">
                  <c:v>Clothing</c:v>
                </c:pt>
              </c:strCache>
            </c:strRef>
          </c:tx>
          <c:spPr>
            <a:solidFill>
              <a:schemeClr val="accent1"/>
            </a:solidFill>
            <a:ln>
              <a:noFill/>
            </a:ln>
            <a:effectLst/>
          </c:spPr>
          <c:invertIfNegative val="0"/>
          <c:cat>
            <c:strRef>
              <c:f>Analysis!$A$14:$A$18</c:f>
              <c:strCache>
                <c:ptCount val="4"/>
                <c:pt idx="0">
                  <c:v>East</c:v>
                </c:pt>
                <c:pt idx="1">
                  <c:v>North</c:v>
                </c:pt>
                <c:pt idx="2">
                  <c:v>South</c:v>
                </c:pt>
                <c:pt idx="3">
                  <c:v>West</c:v>
                </c:pt>
              </c:strCache>
            </c:strRef>
          </c:cat>
          <c:val>
            <c:numRef>
              <c:f>Analysis!$B$14:$B$18</c:f>
              <c:numCache>
                <c:formatCode>_(* #,##0_);_(* \(#,##0\);_(* "-"??_);_(@_)</c:formatCode>
                <c:ptCount val="4"/>
                <c:pt idx="0">
                  <c:v>504000</c:v>
                </c:pt>
                <c:pt idx="1">
                  <c:v>684000</c:v>
                </c:pt>
                <c:pt idx="2">
                  <c:v>180000</c:v>
                </c:pt>
                <c:pt idx="3">
                  <c:v>456000</c:v>
                </c:pt>
              </c:numCache>
            </c:numRef>
          </c:val>
          <c:extLst>
            <c:ext xmlns:c16="http://schemas.microsoft.com/office/drawing/2014/chart" uri="{C3380CC4-5D6E-409C-BE32-E72D297353CC}">
              <c16:uniqueId val="{00000000-C1AE-4B64-94F5-A9BC379568E3}"/>
            </c:ext>
          </c:extLst>
        </c:ser>
        <c:ser>
          <c:idx val="1"/>
          <c:order val="1"/>
          <c:tx>
            <c:strRef>
              <c:f>Analysis!$C$12:$C$13</c:f>
              <c:strCache>
                <c:ptCount val="1"/>
                <c:pt idx="0">
                  <c:v>Electronics</c:v>
                </c:pt>
              </c:strCache>
            </c:strRef>
          </c:tx>
          <c:spPr>
            <a:solidFill>
              <a:schemeClr val="accent2"/>
            </a:solidFill>
            <a:ln>
              <a:noFill/>
            </a:ln>
            <a:effectLst/>
          </c:spPr>
          <c:invertIfNegative val="0"/>
          <c:cat>
            <c:strRef>
              <c:f>Analysis!$A$14:$A$18</c:f>
              <c:strCache>
                <c:ptCount val="4"/>
                <c:pt idx="0">
                  <c:v>East</c:v>
                </c:pt>
                <c:pt idx="1">
                  <c:v>North</c:v>
                </c:pt>
                <c:pt idx="2">
                  <c:v>South</c:v>
                </c:pt>
                <c:pt idx="3">
                  <c:v>West</c:v>
                </c:pt>
              </c:strCache>
            </c:strRef>
          </c:cat>
          <c:val>
            <c:numRef>
              <c:f>Analysis!$C$14:$C$18</c:f>
              <c:numCache>
                <c:formatCode>_(* #,##0_);_(* \(#,##0\);_(* "-"??_);_(@_)</c:formatCode>
                <c:ptCount val="4"/>
                <c:pt idx="0">
                  <c:v>340000</c:v>
                </c:pt>
                <c:pt idx="1">
                  <c:v>1690000</c:v>
                </c:pt>
                <c:pt idx="2">
                  <c:v>-440000</c:v>
                </c:pt>
                <c:pt idx="3">
                  <c:v>90000</c:v>
                </c:pt>
              </c:numCache>
            </c:numRef>
          </c:val>
          <c:extLst>
            <c:ext xmlns:c16="http://schemas.microsoft.com/office/drawing/2014/chart" uri="{C3380CC4-5D6E-409C-BE32-E72D297353CC}">
              <c16:uniqueId val="{00000012-C1AE-4B64-94F5-A9BC379568E3}"/>
            </c:ext>
          </c:extLst>
        </c:ser>
        <c:ser>
          <c:idx val="2"/>
          <c:order val="2"/>
          <c:tx>
            <c:strRef>
              <c:f>Analysis!$D$12:$D$13</c:f>
              <c:strCache>
                <c:ptCount val="1"/>
                <c:pt idx="0">
                  <c:v>Food &amp; Bev</c:v>
                </c:pt>
              </c:strCache>
            </c:strRef>
          </c:tx>
          <c:spPr>
            <a:solidFill>
              <a:schemeClr val="accent3"/>
            </a:solidFill>
            <a:ln>
              <a:noFill/>
            </a:ln>
            <a:effectLst/>
          </c:spPr>
          <c:invertIfNegative val="0"/>
          <c:cat>
            <c:strRef>
              <c:f>Analysis!$A$14:$A$18</c:f>
              <c:strCache>
                <c:ptCount val="4"/>
                <c:pt idx="0">
                  <c:v>East</c:v>
                </c:pt>
                <c:pt idx="1">
                  <c:v>North</c:v>
                </c:pt>
                <c:pt idx="2">
                  <c:v>South</c:v>
                </c:pt>
                <c:pt idx="3">
                  <c:v>West</c:v>
                </c:pt>
              </c:strCache>
            </c:strRef>
          </c:cat>
          <c:val>
            <c:numRef>
              <c:f>Analysis!$D$14:$D$18</c:f>
              <c:numCache>
                <c:formatCode>_(* #,##0_);_(* \(#,##0\);_(* "-"??_);_(@_)</c:formatCode>
                <c:ptCount val="4"/>
                <c:pt idx="0">
                  <c:v>1368500</c:v>
                </c:pt>
                <c:pt idx="1">
                  <c:v>1096500</c:v>
                </c:pt>
                <c:pt idx="3">
                  <c:v>697000</c:v>
                </c:pt>
              </c:numCache>
            </c:numRef>
          </c:val>
          <c:extLst>
            <c:ext xmlns:c16="http://schemas.microsoft.com/office/drawing/2014/chart" uri="{C3380CC4-5D6E-409C-BE32-E72D297353CC}">
              <c16:uniqueId val="{00000004-2530-4D68-8B7D-D136D63923B8}"/>
            </c:ext>
          </c:extLst>
        </c:ser>
        <c:ser>
          <c:idx val="3"/>
          <c:order val="3"/>
          <c:tx>
            <c:strRef>
              <c:f>Analysis!$E$12:$E$13</c:f>
              <c:strCache>
                <c:ptCount val="1"/>
                <c:pt idx="0">
                  <c:v>Furniture</c:v>
                </c:pt>
              </c:strCache>
            </c:strRef>
          </c:tx>
          <c:spPr>
            <a:solidFill>
              <a:schemeClr val="accent4"/>
            </a:solidFill>
            <a:ln>
              <a:noFill/>
            </a:ln>
            <a:effectLst/>
          </c:spPr>
          <c:invertIfNegative val="0"/>
          <c:cat>
            <c:strRef>
              <c:f>Analysis!$A$14:$A$18</c:f>
              <c:strCache>
                <c:ptCount val="4"/>
                <c:pt idx="0">
                  <c:v>East</c:v>
                </c:pt>
                <c:pt idx="1">
                  <c:v>North</c:v>
                </c:pt>
                <c:pt idx="2">
                  <c:v>South</c:v>
                </c:pt>
                <c:pt idx="3">
                  <c:v>West</c:v>
                </c:pt>
              </c:strCache>
            </c:strRef>
          </c:cat>
          <c:val>
            <c:numRef>
              <c:f>Analysis!$E$14:$E$18</c:f>
              <c:numCache>
                <c:formatCode>_(* #,##0_);_(* \(#,##0\);_(* "-"??_);_(@_)</c:formatCode>
                <c:ptCount val="4"/>
                <c:pt idx="0">
                  <c:v>1900000</c:v>
                </c:pt>
                <c:pt idx="1">
                  <c:v>1235000</c:v>
                </c:pt>
                <c:pt idx="2">
                  <c:v>1235000</c:v>
                </c:pt>
                <c:pt idx="3">
                  <c:v>475000</c:v>
                </c:pt>
              </c:numCache>
            </c:numRef>
          </c:val>
          <c:extLst>
            <c:ext xmlns:c16="http://schemas.microsoft.com/office/drawing/2014/chart" uri="{C3380CC4-5D6E-409C-BE32-E72D297353CC}">
              <c16:uniqueId val="{00000005-2530-4D68-8B7D-D136D63923B8}"/>
            </c:ext>
          </c:extLst>
        </c:ser>
        <c:dLbls>
          <c:showLegendKey val="0"/>
          <c:showVal val="0"/>
          <c:showCatName val="0"/>
          <c:showSerName val="0"/>
          <c:showPercent val="0"/>
          <c:showBubbleSize val="0"/>
        </c:dLbls>
        <c:gapWidth val="150"/>
        <c:overlap val="100"/>
        <c:axId val="1257078528"/>
        <c:axId val="1257077280"/>
      </c:barChart>
      <c:catAx>
        <c:axId val="12570785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77280"/>
        <c:crosses val="autoZero"/>
        <c:auto val="1"/>
        <c:lblAlgn val="ctr"/>
        <c:lblOffset val="100"/>
        <c:noMultiLvlLbl val="0"/>
      </c:catAx>
      <c:valAx>
        <c:axId val="1257077280"/>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7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Dashboard.xlsx]Analysis!PivotTable9</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REVENUE</a:t>
            </a:r>
            <a:r>
              <a:rPr lang="en-US" baseline="0">
                <a:solidFill>
                  <a:schemeClr val="dk1"/>
                </a:solidFill>
                <a:latin typeface="+mn-lt"/>
                <a:ea typeface="+mn-ea"/>
                <a:cs typeface="+mn-cs"/>
              </a:rPr>
              <a:t> BY PAYMENT</a:t>
            </a:r>
            <a:endParaRPr lang="en-US"/>
          </a:p>
        </c:rich>
      </c:tx>
      <c:overlay val="0"/>
      <c:spPr>
        <a:solidFill>
          <a:schemeClr val="lt1"/>
        </a:solidFill>
        <a:ln w="25400" cap="flat" cmpd="sng" algn="ctr">
          <a:solidFill>
            <a:schemeClr val="dk1"/>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Analysis!$I$10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91-4A43-8074-23325DEBED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91-4A43-8074-23325DEBED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91-4A43-8074-23325DEBED0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Analysis!$H$11:$H$14</c:f>
              <c:strCache>
                <c:ptCount val="3"/>
                <c:pt idx="0">
                  <c:v>Card</c:v>
                </c:pt>
                <c:pt idx="1">
                  <c:v>Cash</c:v>
                </c:pt>
                <c:pt idx="2">
                  <c:v>Transfer</c:v>
                </c:pt>
              </c:strCache>
            </c:strRef>
          </c:cat>
          <c:val>
            <c:numRef>
              <c:f>Analysis!$I$11:$I$14</c:f>
              <c:numCache>
                <c:formatCode>_(* #,##0_);_(* \(#,##0\);_(* "-"??_);_(@_)</c:formatCode>
                <c:ptCount val="3"/>
                <c:pt idx="0">
                  <c:v>3212000</c:v>
                </c:pt>
                <c:pt idx="1">
                  <c:v>5015000</c:v>
                </c:pt>
                <c:pt idx="2">
                  <c:v>3284000</c:v>
                </c:pt>
              </c:numCache>
            </c:numRef>
          </c:val>
          <c:extLst>
            <c:ext xmlns:c16="http://schemas.microsoft.com/office/drawing/2014/chart" uri="{C3380CC4-5D6E-409C-BE32-E72D297353CC}">
              <c16:uniqueId val="{00000006-5391-4A43-8074-23325DEBED0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Dashboard.xlsx]Analysis!PivotTable11</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QUANTITY SOLD</a:t>
            </a:r>
            <a:r>
              <a:rPr lang="en-US" baseline="0">
                <a:solidFill>
                  <a:schemeClr val="dk1"/>
                </a:solidFill>
                <a:latin typeface="+mn-lt"/>
                <a:ea typeface="+mn-ea"/>
                <a:cs typeface="+mn-cs"/>
              </a:rPr>
              <a:t>  BY ORDER</a:t>
            </a:r>
            <a:endParaRPr lang="en-US"/>
          </a:p>
        </c:rich>
      </c:tx>
      <c:overlay val="0"/>
      <c:spPr>
        <a:solidFill>
          <a:schemeClr val="lt1"/>
        </a:solidFill>
        <a:ln w="25400" cap="flat" cmpd="sng" algn="ctr">
          <a:solidFill>
            <a:schemeClr val="dk1"/>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Analysis!$I$16</c:f>
              <c:strCache>
                <c:ptCount val="1"/>
                <c:pt idx="0">
                  <c:v>Total</c:v>
                </c:pt>
              </c:strCache>
            </c:strRef>
          </c:tx>
          <c:spPr>
            <a:solidFill>
              <a:schemeClr val="accent1"/>
            </a:solidFill>
            <a:ln>
              <a:noFill/>
            </a:ln>
            <a:effectLst/>
          </c:spPr>
          <c:invertIfNegative val="0"/>
          <c:cat>
            <c:strRef>
              <c:f>Analysis!$H$17:$H$21</c:f>
              <c:strCache>
                <c:ptCount val="4"/>
                <c:pt idx="0">
                  <c:v>Cancel</c:v>
                </c:pt>
                <c:pt idx="1">
                  <c:v>Cancelled</c:v>
                </c:pt>
                <c:pt idx="2">
                  <c:v>Completed</c:v>
                </c:pt>
                <c:pt idx="3">
                  <c:v>Pending</c:v>
                </c:pt>
              </c:strCache>
            </c:strRef>
          </c:cat>
          <c:val>
            <c:numRef>
              <c:f>Analysis!$I$17:$I$21</c:f>
              <c:numCache>
                <c:formatCode>_(* #,##0_);_(* \(#,##0\);_(* "-"??_);_(@_)</c:formatCode>
                <c:ptCount val="4"/>
                <c:pt idx="0">
                  <c:v>11</c:v>
                </c:pt>
                <c:pt idx="1">
                  <c:v>28</c:v>
                </c:pt>
                <c:pt idx="2">
                  <c:v>512</c:v>
                </c:pt>
                <c:pt idx="3">
                  <c:v>48</c:v>
                </c:pt>
              </c:numCache>
            </c:numRef>
          </c:val>
          <c:extLst>
            <c:ext xmlns:c16="http://schemas.microsoft.com/office/drawing/2014/chart" uri="{C3380CC4-5D6E-409C-BE32-E72D297353CC}">
              <c16:uniqueId val="{00000000-77A2-40A0-8076-0F20013302D5}"/>
            </c:ext>
          </c:extLst>
        </c:ser>
        <c:dLbls>
          <c:showLegendKey val="0"/>
          <c:showVal val="0"/>
          <c:showCatName val="0"/>
          <c:showSerName val="0"/>
          <c:showPercent val="0"/>
          <c:showBubbleSize val="0"/>
        </c:dLbls>
        <c:gapWidth val="150"/>
        <c:overlap val="100"/>
        <c:axId val="1079562944"/>
        <c:axId val="1079564608"/>
      </c:barChart>
      <c:catAx>
        <c:axId val="107956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564608"/>
        <c:crosses val="autoZero"/>
        <c:auto val="1"/>
        <c:lblAlgn val="ctr"/>
        <c:lblOffset val="100"/>
        <c:noMultiLvlLbl val="0"/>
      </c:catAx>
      <c:valAx>
        <c:axId val="107956460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562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442474</xdr:colOff>
      <xdr:row>2</xdr:row>
      <xdr:rowOff>27022</xdr:rowOff>
    </xdr:from>
    <xdr:to>
      <xdr:col>17</xdr:col>
      <xdr:colOff>359924</xdr:colOff>
      <xdr:row>46</xdr:row>
      <xdr:rowOff>94575</xdr:rowOff>
    </xdr:to>
    <xdr:sp macro="" textlink="">
      <xdr:nvSpPr>
        <xdr:cNvPr id="2" name="Rectangle 1">
          <a:extLst>
            <a:ext uri="{FF2B5EF4-FFF2-40B4-BE49-F238E27FC236}">
              <a16:creationId xmlns:a16="http://schemas.microsoft.com/office/drawing/2014/main" id="{19C4205C-8F32-4E73-8206-9A9627E59BDA}"/>
            </a:ext>
          </a:extLst>
        </xdr:cNvPr>
        <xdr:cNvSpPr/>
      </xdr:nvSpPr>
      <xdr:spPr>
        <a:xfrm>
          <a:off x="442474" y="391809"/>
          <a:ext cx="10253088" cy="8092872"/>
        </a:xfrm>
        <a:prstGeom prst="rect">
          <a:avLst/>
        </a:prstGeom>
        <a:solidFill>
          <a:schemeClr val="accent5">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114300</xdr:colOff>
      <xdr:row>3</xdr:row>
      <xdr:rowOff>31750</xdr:rowOff>
    </xdr:from>
    <xdr:to>
      <xdr:col>14</xdr:col>
      <xdr:colOff>158750</xdr:colOff>
      <xdr:row>6</xdr:row>
      <xdr:rowOff>19050</xdr:rowOff>
    </xdr:to>
    <xdr:sp macro="" textlink="">
      <xdr:nvSpPr>
        <xdr:cNvPr id="3" name="Rectangle: Rounded Corners 2">
          <a:extLst>
            <a:ext uri="{FF2B5EF4-FFF2-40B4-BE49-F238E27FC236}">
              <a16:creationId xmlns:a16="http://schemas.microsoft.com/office/drawing/2014/main" id="{049904D0-3A58-41D7-8334-E31EB44F5D14}"/>
            </a:ext>
          </a:extLst>
        </xdr:cNvPr>
        <xdr:cNvSpPr/>
      </xdr:nvSpPr>
      <xdr:spPr>
        <a:xfrm>
          <a:off x="2552700" y="584200"/>
          <a:ext cx="6140450" cy="539750"/>
        </a:xfrm>
        <a:prstGeom prst="roundRect">
          <a:avLst>
            <a:gd name="adj" fmla="val 50000"/>
          </a:avLst>
        </a:prstGeom>
        <a:solidFill>
          <a:schemeClr val="accent5">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US" sz="2400">
              <a:solidFill>
                <a:schemeClr val="dk1"/>
              </a:solidFill>
              <a:latin typeface="Times New Roman" panose="02020603050405020304" pitchFamily="18" charset="0"/>
              <a:ea typeface="+mn-ea"/>
              <a:cs typeface="Times New Roman" panose="02020603050405020304" pitchFamily="18" charset="0"/>
            </a:rPr>
            <a:t>SALES PERFORMANCE DASHBOARD</a:t>
          </a:r>
        </a:p>
      </xdr:txBody>
    </xdr:sp>
    <xdr:clientData/>
  </xdr:twoCellAnchor>
  <xdr:twoCellAnchor>
    <xdr:from>
      <xdr:col>3</xdr:col>
      <xdr:colOff>247650</xdr:colOff>
      <xdr:row>6</xdr:row>
      <xdr:rowOff>101600</xdr:rowOff>
    </xdr:from>
    <xdr:to>
      <xdr:col>14</xdr:col>
      <xdr:colOff>596900</xdr:colOff>
      <xdr:row>10</xdr:row>
      <xdr:rowOff>158750</xdr:rowOff>
    </xdr:to>
    <xdr:sp macro="" textlink="">
      <xdr:nvSpPr>
        <xdr:cNvPr id="4" name="Rectangle: Rounded Corners 3">
          <a:extLst>
            <a:ext uri="{FF2B5EF4-FFF2-40B4-BE49-F238E27FC236}">
              <a16:creationId xmlns:a16="http://schemas.microsoft.com/office/drawing/2014/main" id="{25F9EC7B-67D6-4BEE-93A3-318950981B8A}"/>
            </a:ext>
          </a:extLst>
        </xdr:cNvPr>
        <xdr:cNvSpPr/>
      </xdr:nvSpPr>
      <xdr:spPr>
        <a:xfrm>
          <a:off x="2076450" y="1206500"/>
          <a:ext cx="7054850" cy="793750"/>
        </a:xfrm>
        <a:prstGeom prst="roundRect">
          <a:avLst>
            <a:gd name="adj" fmla="val 50000"/>
          </a:avLst>
        </a:prstGeom>
        <a:solidFill>
          <a:schemeClr val="accent5">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endParaRPr lang="en-US" sz="2400">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3</xdr:col>
      <xdr:colOff>558800</xdr:colOff>
      <xdr:row>7</xdr:row>
      <xdr:rowOff>6350</xdr:rowOff>
    </xdr:from>
    <xdr:to>
      <xdr:col>6</xdr:col>
      <xdr:colOff>203200</xdr:colOff>
      <xdr:row>8</xdr:row>
      <xdr:rowOff>133350</xdr:rowOff>
    </xdr:to>
    <xdr:sp macro="" textlink="Analysis!A21">
      <xdr:nvSpPr>
        <xdr:cNvPr id="5" name="TextBox 4">
          <a:extLst>
            <a:ext uri="{FF2B5EF4-FFF2-40B4-BE49-F238E27FC236}">
              <a16:creationId xmlns:a16="http://schemas.microsoft.com/office/drawing/2014/main" id="{5F5BEA7E-71A4-42ED-B507-7A2CA3250F4F}"/>
            </a:ext>
          </a:extLst>
        </xdr:cNvPr>
        <xdr:cNvSpPr txBox="1"/>
      </xdr:nvSpPr>
      <xdr:spPr>
        <a:xfrm>
          <a:off x="2387600" y="1295400"/>
          <a:ext cx="1473200" cy="311150"/>
        </a:xfrm>
        <a:prstGeom prst="rect">
          <a:avLst/>
        </a:prstGeom>
        <a:solidFill>
          <a:schemeClr val="lt1"/>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57F210-7690-4A9E-9144-6DD225AE44AC}" type="TxLink">
            <a:rPr lang="en-US" sz="1100" b="1" i="0" u="none" strike="noStrike">
              <a:solidFill>
                <a:srgbClr val="000000"/>
              </a:solidFill>
              <a:latin typeface="Times New Roman" panose="02020603050405020304" pitchFamily="18" charset="0"/>
              <a:ea typeface="Calibri"/>
              <a:cs typeface="Times New Roman" panose="02020603050405020304" pitchFamily="18" charset="0"/>
            </a:rPr>
            <a:pPr algn="ctr"/>
            <a:t>Count of Emp ID</a:t>
          </a:fld>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3</xdr:col>
      <xdr:colOff>558800</xdr:colOff>
      <xdr:row>9</xdr:row>
      <xdr:rowOff>0</xdr:rowOff>
    </xdr:from>
    <xdr:to>
      <xdr:col>6</xdr:col>
      <xdr:colOff>203200</xdr:colOff>
      <xdr:row>10</xdr:row>
      <xdr:rowOff>127000</xdr:rowOff>
    </xdr:to>
    <xdr:sp macro="" textlink="Analysis!A22">
      <xdr:nvSpPr>
        <xdr:cNvPr id="6" name="TextBox 5">
          <a:extLst>
            <a:ext uri="{FF2B5EF4-FFF2-40B4-BE49-F238E27FC236}">
              <a16:creationId xmlns:a16="http://schemas.microsoft.com/office/drawing/2014/main" id="{8B87020E-B3AE-4986-A2F5-BC898E3AB170}"/>
            </a:ext>
          </a:extLst>
        </xdr:cNvPr>
        <xdr:cNvSpPr txBox="1"/>
      </xdr:nvSpPr>
      <xdr:spPr>
        <a:xfrm>
          <a:off x="2387600" y="1657350"/>
          <a:ext cx="1473200" cy="311150"/>
        </a:xfrm>
        <a:prstGeom prst="rect">
          <a:avLst/>
        </a:prstGeom>
        <a:solidFill>
          <a:schemeClr val="accent5">
            <a:lumMod val="60000"/>
            <a:lumOff val="4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7C5E049-2835-4915-8697-888E3FD5BBA1}" type="TxLink">
            <a:rPr lang="en-US" sz="11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 75 </a:t>
          </a:fld>
          <a:endParaRPr lang="en-US" sz="11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6</xdr:col>
      <xdr:colOff>425450</xdr:colOff>
      <xdr:row>6</xdr:row>
      <xdr:rowOff>177800</xdr:rowOff>
    </xdr:from>
    <xdr:to>
      <xdr:col>9</xdr:col>
      <xdr:colOff>69850</xdr:colOff>
      <xdr:row>8</xdr:row>
      <xdr:rowOff>120650</xdr:rowOff>
    </xdr:to>
    <xdr:sp macro="" textlink="Analysis!B21">
      <xdr:nvSpPr>
        <xdr:cNvPr id="7" name="TextBox 6">
          <a:extLst>
            <a:ext uri="{FF2B5EF4-FFF2-40B4-BE49-F238E27FC236}">
              <a16:creationId xmlns:a16="http://schemas.microsoft.com/office/drawing/2014/main" id="{9B9240C3-D4FB-416C-8873-5C8EF2EBFD5E}"/>
            </a:ext>
          </a:extLst>
        </xdr:cNvPr>
        <xdr:cNvSpPr txBox="1"/>
      </xdr:nvSpPr>
      <xdr:spPr>
        <a:xfrm>
          <a:off x="4083050" y="1282700"/>
          <a:ext cx="1473200" cy="311150"/>
        </a:xfrm>
        <a:prstGeom prst="rect">
          <a:avLst/>
        </a:prstGeom>
        <a:solidFill>
          <a:schemeClr val="accent5">
            <a:lumMod val="60000"/>
            <a:lumOff val="4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29B1547-0520-4DC6-AEFB-8C60BF1A89E0}" type="TxLink">
            <a:rPr lang="en-US" sz="11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Sum of Total Revenue</a:t>
          </a:fld>
          <a:endParaRPr lang="en-US" sz="11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6</xdr:col>
      <xdr:colOff>400050</xdr:colOff>
      <xdr:row>8</xdr:row>
      <xdr:rowOff>177800</xdr:rowOff>
    </xdr:from>
    <xdr:to>
      <xdr:col>9</xdr:col>
      <xdr:colOff>44450</xdr:colOff>
      <xdr:row>10</xdr:row>
      <xdr:rowOff>120650</xdr:rowOff>
    </xdr:to>
    <xdr:sp macro="" textlink="Analysis!B22">
      <xdr:nvSpPr>
        <xdr:cNvPr id="8" name="TextBox 7">
          <a:extLst>
            <a:ext uri="{FF2B5EF4-FFF2-40B4-BE49-F238E27FC236}">
              <a16:creationId xmlns:a16="http://schemas.microsoft.com/office/drawing/2014/main" id="{B28566BB-8830-4C16-B0EB-ED407F0D4EC9}"/>
            </a:ext>
          </a:extLst>
        </xdr:cNvPr>
        <xdr:cNvSpPr txBox="1"/>
      </xdr:nvSpPr>
      <xdr:spPr>
        <a:xfrm>
          <a:off x="4057650" y="1651000"/>
          <a:ext cx="1473200" cy="311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E817A54-62E5-44B9-AC78-7D6C0C939EB0}" type="TxLink">
            <a:rPr lang="en-US" sz="11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 11,511,000 </a:t>
          </a:fld>
          <a:endParaRPr lang="en-US" sz="11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9</xdr:col>
      <xdr:colOff>266700</xdr:colOff>
      <xdr:row>6</xdr:row>
      <xdr:rowOff>171450</xdr:rowOff>
    </xdr:from>
    <xdr:to>
      <xdr:col>11</xdr:col>
      <xdr:colOff>520700</xdr:colOff>
      <xdr:row>8</xdr:row>
      <xdr:rowOff>114300</xdr:rowOff>
    </xdr:to>
    <xdr:sp macro="" textlink="Analysis!C21">
      <xdr:nvSpPr>
        <xdr:cNvPr id="9" name="TextBox 8">
          <a:extLst>
            <a:ext uri="{FF2B5EF4-FFF2-40B4-BE49-F238E27FC236}">
              <a16:creationId xmlns:a16="http://schemas.microsoft.com/office/drawing/2014/main" id="{4B6B2231-4DB8-4ABC-BB58-D6B13FDDA85A}"/>
            </a:ext>
          </a:extLst>
        </xdr:cNvPr>
        <xdr:cNvSpPr txBox="1"/>
      </xdr:nvSpPr>
      <xdr:spPr>
        <a:xfrm>
          <a:off x="5753100" y="1276350"/>
          <a:ext cx="1473200" cy="311150"/>
        </a:xfrm>
        <a:prstGeom prst="rect">
          <a:avLst/>
        </a:prstGeom>
        <a:solidFill>
          <a:schemeClr val="lt1"/>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8AF1C9-A825-44F1-8870-ACB9ABACC430}" type="TxLink">
            <a:rPr lang="en-US" sz="11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Sum of Unit price</a:t>
          </a:fld>
          <a:endParaRPr lang="en-US" sz="11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9</xdr:col>
      <xdr:colOff>266700</xdr:colOff>
      <xdr:row>8</xdr:row>
      <xdr:rowOff>177800</xdr:rowOff>
    </xdr:from>
    <xdr:to>
      <xdr:col>11</xdr:col>
      <xdr:colOff>520700</xdr:colOff>
      <xdr:row>10</xdr:row>
      <xdr:rowOff>120650</xdr:rowOff>
    </xdr:to>
    <xdr:sp macro="" textlink="Analysis!C22">
      <xdr:nvSpPr>
        <xdr:cNvPr id="10" name="TextBox 9">
          <a:extLst>
            <a:ext uri="{FF2B5EF4-FFF2-40B4-BE49-F238E27FC236}">
              <a16:creationId xmlns:a16="http://schemas.microsoft.com/office/drawing/2014/main" id="{7657E9E5-D716-4490-8B23-4E0ACCB2093A}"/>
            </a:ext>
          </a:extLst>
        </xdr:cNvPr>
        <xdr:cNvSpPr txBox="1"/>
      </xdr:nvSpPr>
      <xdr:spPr>
        <a:xfrm>
          <a:off x="5753100" y="1651000"/>
          <a:ext cx="1473200" cy="311150"/>
        </a:xfrm>
        <a:prstGeom prst="rect">
          <a:avLst/>
        </a:prstGeom>
        <a:solidFill>
          <a:schemeClr val="accent5">
            <a:lumMod val="60000"/>
            <a:lumOff val="4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FF7A977-C69E-4A56-ABF2-0FC1CF3FF3B1}" type="TxLink">
            <a:rPr lang="en-US" sz="11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 3,517,500 </a:t>
          </a:fld>
          <a:endParaRPr lang="en-US" sz="11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12</xdr:col>
      <xdr:colOff>44450</xdr:colOff>
      <xdr:row>6</xdr:row>
      <xdr:rowOff>158750</xdr:rowOff>
    </xdr:from>
    <xdr:to>
      <xdr:col>14</xdr:col>
      <xdr:colOff>298450</xdr:colOff>
      <xdr:row>8</xdr:row>
      <xdr:rowOff>101600</xdr:rowOff>
    </xdr:to>
    <xdr:sp macro="" textlink="Analysis!D21">
      <xdr:nvSpPr>
        <xdr:cNvPr id="11" name="TextBox 10">
          <a:extLst>
            <a:ext uri="{FF2B5EF4-FFF2-40B4-BE49-F238E27FC236}">
              <a16:creationId xmlns:a16="http://schemas.microsoft.com/office/drawing/2014/main" id="{CCD6E9CA-3F5D-4137-9DE9-68ECB6FBD959}"/>
            </a:ext>
          </a:extLst>
        </xdr:cNvPr>
        <xdr:cNvSpPr txBox="1"/>
      </xdr:nvSpPr>
      <xdr:spPr>
        <a:xfrm>
          <a:off x="7359650" y="1263650"/>
          <a:ext cx="1473200" cy="311150"/>
        </a:xfrm>
        <a:prstGeom prst="rect">
          <a:avLst/>
        </a:prstGeom>
        <a:solidFill>
          <a:schemeClr val="accent5">
            <a:lumMod val="60000"/>
            <a:lumOff val="4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7BB0DAB-A734-45E1-8D51-0AFC35451989}" type="TxLink">
            <a:rPr lang="en-US" sz="11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Sum of Qty Sold</a:t>
          </a:fld>
          <a:endParaRPr lang="en-US" sz="11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12</xdr:col>
      <xdr:colOff>25400</xdr:colOff>
      <xdr:row>8</xdr:row>
      <xdr:rowOff>177800</xdr:rowOff>
    </xdr:from>
    <xdr:to>
      <xdr:col>14</xdr:col>
      <xdr:colOff>279400</xdr:colOff>
      <xdr:row>10</xdr:row>
      <xdr:rowOff>120650</xdr:rowOff>
    </xdr:to>
    <xdr:sp macro="" textlink="Analysis!D22">
      <xdr:nvSpPr>
        <xdr:cNvPr id="12" name="TextBox 11">
          <a:extLst>
            <a:ext uri="{FF2B5EF4-FFF2-40B4-BE49-F238E27FC236}">
              <a16:creationId xmlns:a16="http://schemas.microsoft.com/office/drawing/2014/main" id="{56B017E8-CE07-4D21-87F7-E5BFC78658C5}"/>
            </a:ext>
          </a:extLst>
        </xdr:cNvPr>
        <xdr:cNvSpPr txBox="1"/>
      </xdr:nvSpPr>
      <xdr:spPr>
        <a:xfrm>
          <a:off x="7340600" y="1651000"/>
          <a:ext cx="1473200" cy="311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095C3FF-5552-478B-92ED-EED28B9646A1}" type="TxLink">
            <a:rPr lang="en-US" sz="11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 599 </a:t>
          </a:fld>
          <a:endParaRPr lang="en-US" sz="11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xdr:col>
      <xdr:colOff>19050</xdr:colOff>
      <xdr:row>11</xdr:row>
      <xdr:rowOff>165101</xdr:rowOff>
    </xdr:from>
    <xdr:to>
      <xdr:col>6</xdr:col>
      <xdr:colOff>120650</xdr:colOff>
      <xdr:row>27</xdr:row>
      <xdr:rowOff>128351</xdr:rowOff>
    </xdr:to>
    <xdr:graphicFrame macro="">
      <xdr:nvGraphicFramePr>
        <xdr:cNvPr id="13" name="Chart 12">
          <a:extLst>
            <a:ext uri="{FF2B5EF4-FFF2-40B4-BE49-F238E27FC236}">
              <a16:creationId xmlns:a16="http://schemas.microsoft.com/office/drawing/2014/main" id="{C6015E3A-310A-4651-B0F5-69D6BA02B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222250</xdr:colOff>
      <xdr:row>11</xdr:row>
      <xdr:rowOff>177800</xdr:rowOff>
    </xdr:from>
    <xdr:to>
      <xdr:col>11</xdr:col>
      <xdr:colOff>393700</xdr:colOff>
      <xdr:row>27</xdr:row>
      <xdr:rowOff>168883</xdr:rowOff>
    </xdr:to>
    <xdr:graphicFrame macro="">
      <xdr:nvGraphicFramePr>
        <xdr:cNvPr id="14" name="Chart 13">
          <a:extLst>
            <a:ext uri="{FF2B5EF4-FFF2-40B4-BE49-F238E27FC236}">
              <a16:creationId xmlns:a16="http://schemas.microsoft.com/office/drawing/2014/main" id="{6D8138EF-0B99-4A26-81F7-5DF593884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546100</xdr:colOff>
      <xdr:row>11</xdr:row>
      <xdr:rowOff>171451</xdr:rowOff>
    </xdr:from>
    <xdr:to>
      <xdr:col>17</xdr:col>
      <xdr:colOff>234950</xdr:colOff>
      <xdr:row>28</xdr:row>
      <xdr:rowOff>20266</xdr:rowOff>
    </xdr:to>
    <xdr:graphicFrame macro="">
      <xdr:nvGraphicFramePr>
        <xdr:cNvPr id="15" name="Chart 14">
          <a:extLst>
            <a:ext uri="{FF2B5EF4-FFF2-40B4-BE49-F238E27FC236}">
              <a16:creationId xmlns:a16="http://schemas.microsoft.com/office/drawing/2014/main" id="{AC30963C-9BA3-4393-A2C0-0A4D4703A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19050</xdr:colOff>
      <xdr:row>3</xdr:row>
      <xdr:rowOff>50801</xdr:rowOff>
    </xdr:from>
    <xdr:to>
      <xdr:col>17</xdr:col>
      <xdr:colOff>311150</xdr:colOff>
      <xdr:row>9</xdr:row>
      <xdr:rowOff>177801</xdr:rowOff>
    </xdr:to>
    <mc:AlternateContent xmlns:mc="http://schemas.openxmlformats.org/markup-compatibility/2006" xmlns:a14="http://schemas.microsoft.com/office/drawing/2010/main">
      <mc:Choice Requires="a14">
        <xdr:graphicFrame macro="">
          <xdr:nvGraphicFramePr>
            <xdr:cNvPr id="16" name="Payment Method">
              <a:extLst>
                <a:ext uri="{FF2B5EF4-FFF2-40B4-BE49-F238E27FC236}">
                  <a16:creationId xmlns:a16="http://schemas.microsoft.com/office/drawing/2014/main" id="{C2636243-3F1A-4477-91C3-132AFC4B1149}"/>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163050" y="603251"/>
              <a:ext cx="1511300" cy="1231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577850</xdr:colOff>
      <xdr:row>3</xdr:row>
      <xdr:rowOff>95251</xdr:rowOff>
    </xdr:from>
    <xdr:to>
      <xdr:col>3</xdr:col>
      <xdr:colOff>209550</xdr:colOff>
      <xdr:row>11</xdr:row>
      <xdr:rowOff>6351</xdr:rowOff>
    </xdr:to>
    <mc:AlternateContent xmlns:mc="http://schemas.openxmlformats.org/markup-compatibility/2006" xmlns:a14="http://schemas.microsoft.com/office/drawing/2010/main">
      <mc:Choice Requires="a14">
        <xdr:graphicFrame macro="">
          <xdr:nvGraphicFramePr>
            <xdr:cNvPr id="18" name="Order Status">
              <a:extLst>
                <a:ext uri="{FF2B5EF4-FFF2-40B4-BE49-F238E27FC236}">
                  <a16:creationId xmlns:a16="http://schemas.microsoft.com/office/drawing/2014/main" id="{34D3206F-8B8E-4045-A9F6-F12E6EA8FFA9}"/>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577850" y="647701"/>
              <a:ext cx="1460500" cy="1384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574202</xdr:colOff>
      <xdr:row>30</xdr:row>
      <xdr:rowOff>0</xdr:rowOff>
    </xdr:from>
    <xdr:to>
      <xdr:col>6</xdr:col>
      <xdr:colOff>74309</xdr:colOff>
      <xdr:row>45</xdr:row>
      <xdr:rowOff>108085</xdr:rowOff>
    </xdr:to>
    <xdr:graphicFrame macro="">
      <xdr:nvGraphicFramePr>
        <xdr:cNvPr id="19" name="Chart 18">
          <a:extLst>
            <a:ext uri="{FF2B5EF4-FFF2-40B4-BE49-F238E27FC236}">
              <a16:creationId xmlns:a16="http://schemas.microsoft.com/office/drawing/2014/main" id="{DB16E531-D413-4AB8-B487-896E33C20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265484</xdr:colOff>
      <xdr:row>30</xdr:row>
      <xdr:rowOff>0</xdr:rowOff>
    </xdr:from>
    <xdr:to>
      <xdr:col>11</xdr:col>
      <xdr:colOff>316284</xdr:colOff>
      <xdr:row>45</xdr:row>
      <xdr:rowOff>121595</xdr:rowOff>
    </xdr:to>
    <xdr:graphicFrame macro="">
      <xdr:nvGraphicFramePr>
        <xdr:cNvPr id="20" name="Chart 19">
          <a:extLst>
            <a:ext uri="{FF2B5EF4-FFF2-40B4-BE49-F238E27FC236}">
              <a16:creationId xmlns:a16="http://schemas.microsoft.com/office/drawing/2014/main" id="{12C8EE3C-ACA9-4F24-BF1A-B4A8730AC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552450</xdr:colOff>
      <xdr:row>29</xdr:row>
      <xdr:rowOff>175638</xdr:rowOff>
    </xdr:from>
    <xdr:to>
      <xdr:col>17</xdr:col>
      <xdr:colOff>266700</xdr:colOff>
      <xdr:row>45</xdr:row>
      <xdr:rowOff>128351</xdr:rowOff>
    </xdr:to>
    <xdr:graphicFrame macro="">
      <xdr:nvGraphicFramePr>
        <xdr:cNvPr id="21" name="Chart 20">
          <a:extLst>
            <a:ext uri="{FF2B5EF4-FFF2-40B4-BE49-F238E27FC236}">
              <a16:creationId xmlns:a16="http://schemas.microsoft.com/office/drawing/2014/main" id="{1998AAEF-118E-4BFB-9BBC-FDDCF6DE0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14.595851736114" createdVersion="7" refreshedVersion="7" minRefreshableVersion="3" recordCount="75" xr:uid="{B394DAEF-0A2F-498A-937A-344F8BA2E81F}">
  <cacheSource type="worksheet">
    <worksheetSource name="Table1"/>
  </cacheSource>
  <cacheFields count="13">
    <cacheField name="Emp ID" numFmtId="0">
      <sharedItems count="75">
        <s v="E001"/>
        <s v="E002"/>
        <s v="E003"/>
        <s v="E004"/>
        <s v="E005"/>
        <s v="E006"/>
        <s v="E007"/>
        <s v="E008"/>
        <s v="E009"/>
        <s v="E010"/>
        <s v="E011"/>
        <s v="E012"/>
        <s v="E013"/>
        <s v="E014"/>
        <s v="E015"/>
        <s v="E016"/>
        <s v="E017"/>
        <s v="E018"/>
        <s v="E019"/>
        <s v="E020"/>
        <s v="E021"/>
        <s v="E022"/>
        <s v="E023"/>
        <s v="E024"/>
        <s v="E025"/>
        <s v="E026"/>
        <s v="E027"/>
        <s v="E028"/>
        <s v="E029"/>
        <s v="E030"/>
        <s v="E031"/>
        <s v="E032"/>
        <s v="E033"/>
        <s v="E034"/>
        <s v="E035"/>
        <s v="E036"/>
        <s v="E037"/>
        <s v="E038"/>
        <s v="E039"/>
        <s v="E040"/>
        <s v="E041"/>
        <s v="E042"/>
        <s v="E043"/>
        <s v="E044"/>
        <s v="E045"/>
        <s v="E046"/>
        <s v="E047"/>
        <s v="E048"/>
        <s v="E049"/>
        <s v="E050"/>
        <s v="E051"/>
        <s v="E052"/>
        <s v="E053"/>
        <s v="E054"/>
        <s v="E055"/>
        <s v="E056"/>
        <s v="E057"/>
        <s v="E058"/>
        <s v="E059"/>
        <s v="E060"/>
        <s v="E061"/>
        <s v="E062"/>
        <s v="E063"/>
        <s v="E064"/>
        <s v="E065"/>
        <s v="E066"/>
        <s v="E067"/>
        <s v="E068"/>
        <s v="E069"/>
        <s v="E070"/>
        <s v="E071"/>
        <s v="E072"/>
        <s v="E073"/>
        <s v="E074"/>
        <s v="E075"/>
      </sharedItems>
    </cacheField>
    <cacheField name="employee Name" numFmtId="0">
      <sharedItems count="6">
        <s v="Amara obi"/>
        <s v="TUNDE bello"/>
        <s v="ngozi EZE"/>
        <s v="Emeka Nwachukwu"/>
        <s v="fatima SULE"/>
        <s v="Chidi Okoro"/>
      </sharedItems>
    </cacheField>
    <cacheField name="DEPARTMENT" numFmtId="0">
      <sharedItems count="3">
        <s v="Sales"/>
        <s v="marketing"/>
        <s v="Sales Dept"/>
      </sharedItems>
    </cacheField>
    <cacheField name="Region" numFmtId="0">
      <sharedItems count="4">
        <s v="South"/>
        <s v="North"/>
        <s v="East"/>
        <s v="West"/>
      </sharedItems>
    </cacheField>
    <cacheField name="Product Category" numFmtId="0">
      <sharedItems count="4">
        <s v="Electronics"/>
        <s v="Clothing"/>
        <s v="Furniture"/>
        <s v="Food &amp; Bev"/>
      </sharedItems>
    </cacheField>
    <cacheField name="Date of sale" numFmtId="0">
      <sharedItems containsBlank="1" count="75">
        <s v="05/01/2024"/>
        <s v="12/01/2024"/>
        <s v="20/01/2024"/>
        <s v="2024/01/25"/>
        <s v="02/02/2024"/>
        <s v="10/02/2024"/>
        <s v="18/02/2024"/>
        <s v="25/02/2024"/>
        <s v="03/03/2024"/>
        <s v="2024/03/10"/>
        <s v="15/03/2024"/>
        <s v="20/03/2024"/>
        <s v="28/03/2024"/>
        <m/>
        <s v="05/04/2024"/>
        <s v="12/04/2024"/>
        <s v="20/04/2024"/>
        <s v="2024/04/28"/>
        <s v="02/05/2024"/>
        <s v="10/05/2024"/>
        <s v="15/05/2024"/>
        <s v="22/05/2024"/>
        <s v="30/05/2024"/>
        <s v="05/06/2024"/>
        <s v="12/06/2024"/>
        <s v="18/06/2024"/>
        <s v="25/06/2024"/>
        <s v="2024/07/02"/>
        <s v="08/07/2024"/>
        <s v="15/07/2024"/>
        <s v="22/07/2024"/>
        <s v="29/07/2024"/>
        <s v="05/08/2024"/>
        <s v="12/08/2024"/>
        <s v="19/08/2024"/>
        <s v="26/08/2024"/>
        <s v="02/09/2024"/>
        <s v="09/09/2024"/>
        <s v="2024/09/15"/>
        <s v="20/09/2024"/>
        <s v="27/09/2024"/>
        <s v="03/10/2024"/>
        <s v="10/10/2024"/>
        <s v="17/10/2024"/>
        <s v="24/10/2024"/>
        <s v="31/10/2024"/>
        <s v="2024/11/07"/>
        <s v="14/11/2024"/>
        <s v="21/11/2024"/>
        <s v="28/11/2024"/>
        <s v="05/12/2024"/>
        <s v="12/12/2024"/>
        <s v="19/12/2024"/>
        <s v="26/12/2024"/>
        <s v="2024/12/30"/>
        <s v="03/01/2025"/>
        <s v="10/01/2025"/>
        <s v="17/01/2025"/>
        <s v="24/01/2025"/>
        <s v="31/01/2025"/>
        <s v="07/02/2025"/>
        <s v="14/02/2025"/>
        <s v="21/02/2025"/>
        <s v="2025/02/28"/>
        <s v="07/03/2025"/>
        <s v="14/03/2025"/>
        <s v="21/03/2025"/>
        <s v="28/03/2025"/>
        <s v="04/04/2025"/>
        <s v="11/04/2025"/>
        <s v="18/04/2025"/>
        <s v="25/04/2025"/>
        <s v="02/05/2025"/>
        <s v="09/05/2025"/>
        <s v="16/05/2025"/>
      </sharedItems>
    </cacheField>
    <cacheField name="Qty Sold" numFmtId="0">
      <sharedItems containsString="0" containsBlank="1" containsNumber="1" containsInteger="1" minValue="-5" maxValue="40"/>
    </cacheField>
    <cacheField name="Unit price" numFmtId="0">
      <sharedItems containsSemiMixedTypes="0" containsString="0" containsNumber="1" containsInteger="1" minValue="8500" maxValue="95000" count="5">
        <n v="85000"/>
        <n v="12000"/>
        <n v="45000"/>
        <n v="95000"/>
        <n v="8500"/>
      </sharedItems>
    </cacheField>
    <cacheField name="Total Revenue" numFmtId="0">
      <sharedItems containsSemiMixedTypes="0" containsString="0" containsNumber="1" containsInteger="1" minValue="-255000" maxValue="760000"/>
    </cacheField>
    <cacheField name="Customer Type" numFmtId="0">
      <sharedItems count="2">
        <s v="Retail"/>
        <s v="Wholesale"/>
      </sharedItems>
    </cacheField>
    <cacheField name="Payment Method" numFmtId="0">
      <sharedItems count="3">
        <s v="Cash"/>
        <s v="Transfer"/>
        <s v="Card"/>
      </sharedItems>
    </cacheField>
    <cacheField name="Order Status" numFmtId="0">
      <sharedItems count="4">
        <s v="Completed"/>
        <s v="Pending"/>
        <s v="Cancelled"/>
        <s v="Cancel"/>
      </sharedItems>
    </cacheField>
    <cacheField name="Discount (%)" numFmtId="0">
      <sharedItems containsMixedTypes="1" containsNumber="1" containsInteger="1" minValue="0" maxValue="30"/>
    </cacheField>
  </cacheFields>
  <extLst>
    <ext xmlns:x14="http://schemas.microsoft.com/office/spreadsheetml/2009/9/main" uri="{725AE2AE-9491-48be-B2B4-4EB974FC3084}">
      <x14:pivotCacheDefinition pivotCacheId="20093776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x v="0"/>
    <x v="0"/>
    <x v="0"/>
    <x v="0"/>
    <x v="0"/>
    <x v="0"/>
    <n v="3"/>
    <x v="0"/>
    <n v="255000"/>
    <x v="0"/>
    <x v="0"/>
    <x v="0"/>
    <n v="0"/>
  </r>
  <r>
    <x v="1"/>
    <x v="1"/>
    <x v="0"/>
    <x v="1"/>
    <x v="1"/>
    <x v="1"/>
    <n v="7"/>
    <x v="1"/>
    <n v="84000"/>
    <x v="1"/>
    <x v="1"/>
    <x v="0"/>
    <n v="5"/>
  </r>
  <r>
    <x v="2"/>
    <x v="2"/>
    <x v="1"/>
    <x v="2"/>
    <x v="0"/>
    <x v="2"/>
    <m/>
    <x v="2"/>
    <n v="0"/>
    <x v="0"/>
    <x v="2"/>
    <x v="1"/>
    <n v="10"/>
  </r>
  <r>
    <x v="3"/>
    <x v="3"/>
    <x v="0"/>
    <x v="3"/>
    <x v="2"/>
    <x v="3"/>
    <n v="5"/>
    <x v="3"/>
    <n v="475000"/>
    <x v="1"/>
    <x v="0"/>
    <x v="0"/>
    <n v="0"/>
  </r>
  <r>
    <x v="4"/>
    <x v="4"/>
    <x v="2"/>
    <x v="1"/>
    <x v="1"/>
    <x v="4"/>
    <n v="10"/>
    <x v="1"/>
    <n v="120000"/>
    <x v="0"/>
    <x v="2"/>
    <x v="0"/>
    <n v="15"/>
  </r>
  <r>
    <x v="5"/>
    <x v="5"/>
    <x v="0"/>
    <x v="2"/>
    <x v="0"/>
    <x v="5"/>
    <n v="4"/>
    <x v="0"/>
    <n v="340000"/>
    <x v="0"/>
    <x v="0"/>
    <x v="2"/>
    <n v="0"/>
  </r>
  <r>
    <x v="6"/>
    <x v="0"/>
    <x v="0"/>
    <x v="0"/>
    <x v="2"/>
    <x v="6"/>
    <m/>
    <x v="3"/>
    <n v="0"/>
    <x v="1"/>
    <x v="1"/>
    <x v="0"/>
    <n v="5"/>
  </r>
  <r>
    <x v="7"/>
    <x v="1"/>
    <x v="2"/>
    <x v="1"/>
    <x v="3"/>
    <x v="7"/>
    <n v="12"/>
    <x v="4"/>
    <n v="102000"/>
    <x v="0"/>
    <x v="0"/>
    <x v="1"/>
    <n v="0"/>
  </r>
  <r>
    <x v="8"/>
    <x v="2"/>
    <x v="1"/>
    <x v="2"/>
    <x v="1"/>
    <x v="8"/>
    <n v="6"/>
    <x v="1"/>
    <n v="72000"/>
    <x v="0"/>
    <x v="2"/>
    <x v="0"/>
    <n v="10"/>
  </r>
  <r>
    <x v="9"/>
    <x v="3"/>
    <x v="0"/>
    <x v="3"/>
    <x v="0"/>
    <x v="9"/>
    <n v="2"/>
    <x v="2"/>
    <n v="90000"/>
    <x v="1"/>
    <x v="1"/>
    <x v="0"/>
    <n v="0"/>
  </r>
  <r>
    <x v="10"/>
    <x v="4"/>
    <x v="0"/>
    <x v="1"/>
    <x v="2"/>
    <x v="10"/>
    <m/>
    <x v="3"/>
    <n v="0"/>
    <x v="0"/>
    <x v="0"/>
    <x v="2"/>
    <n v="0"/>
  </r>
  <r>
    <x v="11"/>
    <x v="5"/>
    <x v="1"/>
    <x v="2"/>
    <x v="3"/>
    <x v="11"/>
    <n v="8"/>
    <x v="4"/>
    <n v="68000"/>
    <x v="0"/>
    <x v="2"/>
    <x v="0"/>
    <n v="5"/>
  </r>
  <r>
    <x v="12"/>
    <x v="0"/>
    <x v="0"/>
    <x v="0"/>
    <x v="1"/>
    <x v="12"/>
    <n v="15"/>
    <x v="1"/>
    <n v="180000"/>
    <x v="1"/>
    <x v="0"/>
    <x v="0"/>
    <n v="10"/>
  </r>
  <r>
    <x v="13"/>
    <x v="1"/>
    <x v="2"/>
    <x v="1"/>
    <x v="0"/>
    <x v="13"/>
    <n v="3"/>
    <x v="0"/>
    <n v="255000"/>
    <x v="0"/>
    <x v="1"/>
    <x v="1"/>
    <n v="0"/>
  </r>
  <r>
    <x v="14"/>
    <x v="2"/>
    <x v="1"/>
    <x v="2"/>
    <x v="2"/>
    <x v="14"/>
    <n v="7"/>
    <x v="3"/>
    <n v="665000"/>
    <x v="1"/>
    <x v="2"/>
    <x v="0"/>
    <n v="0"/>
  </r>
  <r>
    <x v="15"/>
    <x v="3"/>
    <x v="0"/>
    <x v="3"/>
    <x v="3"/>
    <x v="15"/>
    <n v="20"/>
    <x v="4"/>
    <n v="170000"/>
    <x v="0"/>
    <x v="0"/>
    <x v="0"/>
    <n v="15"/>
  </r>
  <r>
    <x v="16"/>
    <x v="4"/>
    <x v="0"/>
    <x v="1"/>
    <x v="0"/>
    <x v="16"/>
    <m/>
    <x v="2"/>
    <n v="0"/>
    <x v="0"/>
    <x v="2"/>
    <x v="3"/>
    <n v="5"/>
  </r>
  <r>
    <x v="17"/>
    <x v="5"/>
    <x v="0"/>
    <x v="2"/>
    <x v="1"/>
    <x v="17"/>
    <n v="9"/>
    <x v="1"/>
    <n v="108000"/>
    <x v="1"/>
    <x v="0"/>
    <x v="0"/>
    <n v="0"/>
  </r>
  <r>
    <x v="18"/>
    <x v="0"/>
    <x v="2"/>
    <x v="0"/>
    <x v="2"/>
    <x v="18"/>
    <n v="4"/>
    <x v="3"/>
    <n v="380000"/>
    <x v="0"/>
    <x v="1"/>
    <x v="0"/>
    <n v="10"/>
  </r>
  <r>
    <x v="19"/>
    <x v="1"/>
    <x v="0"/>
    <x v="1"/>
    <x v="3"/>
    <x v="19"/>
    <n v="18"/>
    <x v="4"/>
    <n v="153000"/>
    <x v="1"/>
    <x v="0"/>
    <x v="0"/>
    <n v="0"/>
  </r>
  <r>
    <x v="20"/>
    <x v="2"/>
    <x v="1"/>
    <x v="2"/>
    <x v="0"/>
    <x v="20"/>
    <m/>
    <x v="0"/>
    <n v="0"/>
    <x v="0"/>
    <x v="2"/>
    <x v="1"/>
    <n v="0"/>
  </r>
  <r>
    <x v="21"/>
    <x v="3"/>
    <x v="0"/>
    <x v="3"/>
    <x v="1"/>
    <x v="21"/>
    <n v="11"/>
    <x v="1"/>
    <n v="132000"/>
    <x v="0"/>
    <x v="1"/>
    <x v="0"/>
    <n v="5"/>
  </r>
  <r>
    <x v="22"/>
    <x v="4"/>
    <x v="0"/>
    <x v="1"/>
    <x v="2"/>
    <x v="22"/>
    <n v="3"/>
    <x v="3"/>
    <n v="285000"/>
    <x v="1"/>
    <x v="0"/>
    <x v="0"/>
    <n v="0"/>
  </r>
  <r>
    <x v="23"/>
    <x v="5"/>
    <x v="0"/>
    <x v="2"/>
    <x v="3"/>
    <x v="23"/>
    <n v="25"/>
    <x v="4"/>
    <n v="212500"/>
    <x v="0"/>
    <x v="2"/>
    <x v="0"/>
    <n v="20"/>
  </r>
  <r>
    <x v="24"/>
    <x v="0"/>
    <x v="2"/>
    <x v="0"/>
    <x v="0"/>
    <x v="24"/>
    <n v="-2"/>
    <x v="0"/>
    <n v="-170000"/>
    <x v="0"/>
    <x v="2"/>
    <x v="0"/>
    <n v="0"/>
  </r>
  <r>
    <x v="25"/>
    <x v="1"/>
    <x v="0"/>
    <x v="1"/>
    <x v="1"/>
    <x v="25"/>
    <n v="8"/>
    <x v="1"/>
    <n v="96000"/>
    <x v="1"/>
    <x v="0"/>
    <x v="2"/>
    <n v="10"/>
  </r>
  <r>
    <x v="26"/>
    <x v="2"/>
    <x v="1"/>
    <x v="2"/>
    <x v="2"/>
    <x v="26"/>
    <m/>
    <x v="3"/>
    <n v="0"/>
    <x v="0"/>
    <x v="1"/>
    <x v="0"/>
    <n v="0"/>
  </r>
  <r>
    <x v="27"/>
    <x v="3"/>
    <x v="0"/>
    <x v="3"/>
    <x v="3"/>
    <x v="27"/>
    <n v="14"/>
    <x v="4"/>
    <n v="119000"/>
    <x v="0"/>
    <x v="0"/>
    <x v="1"/>
    <n v="5"/>
  </r>
  <r>
    <x v="28"/>
    <x v="4"/>
    <x v="2"/>
    <x v="1"/>
    <x v="0"/>
    <x v="28"/>
    <n v="6"/>
    <x v="2"/>
    <n v="270000"/>
    <x v="1"/>
    <x v="2"/>
    <x v="0"/>
    <n v="0"/>
  </r>
  <r>
    <x v="29"/>
    <x v="5"/>
    <x v="0"/>
    <x v="2"/>
    <x v="1"/>
    <x v="29"/>
    <m/>
    <x v="1"/>
    <n v="0"/>
    <x v="0"/>
    <x v="0"/>
    <x v="0"/>
    <n v="15"/>
  </r>
  <r>
    <x v="30"/>
    <x v="0"/>
    <x v="0"/>
    <x v="0"/>
    <x v="2"/>
    <x v="30"/>
    <n v="5"/>
    <x v="3"/>
    <n v="475000"/>
    <x v="0"/>
    <x v="1"/>
    <x v="0"/>
    <n v="0"/>
  </r>
  <r>
    <x v="31"/>
    <x v="1"/>
    <x v="1"/>
    <x v="1"/>
    <x v="3"/>
    <x v="31"/>
    <n v="30"/>
    <x v="4"/>
    <n v="255000"/>
    <x v="1"/>
    <x v="0"/>
    <x v="0"/>
    <n v="10"/>
  </r>
  <r>
    <x v="32"/>
    <x v="2"/>
    <x v="0"/>
    <x v="2"/>
    <x v="0"/>
    <x v="32"/>
    <m/>
    <x v="0"/>
    <n v="0"/>
    <x v="0"/>
    <x v="2"/>
    <x v="1"/>
    <n v="0"/>
  </r>
  <r>
    <x v="33"/>
    <x v="3"/>
    <x v="2"/>
    <x v="3"/>
    <x v="1"/>
    <x v="33"/>
    <n v="7"/>
    <x v="1"/>
    <n v="84000"/>
    <x v="1"/>
    <x v="1"/>
    <x v="0"/>
    <n v="5"/>
  </r>
  <r>
    <x v="34"/>
    <x v="4"/>
    <x v="0"/>
    <x v="1"/>
    <x v="2"/>
    <x v="34"/>
    <n v="3"/>
    <x v="3"/>
    <n v="285000"/>
    <x v="0"/>
    <x v="0"/>
    <x v="3"/>
    <n v="0"/>
  </r>
  <r>
    <x v="35"/>
    <x v="5"/>
    <x v="0"/>
    <x v="2"/>
    <x v="3"/>
    <x v="35"/>
    <n v="22"/>
    <x v="4"/>
    <n v="187000"/>
    <x v="0"/>
    <x v="2"/>
    <x v="0"/>
    <n v="20"/>
  </r>
  <r>
    <x v="36"/>
    <x v="0"/>
    <x v="2"/>
    <x v="0"/>
    <x v="0"/>
    <x v="36"/>
    <n v="-1"/>
    <x v="2"/>
    <n v="-45000"/>
    <x v="1"/>
    <x v="0"/>
    <x v="0"/>
    <n v="0"/>
  </r>
  <r>
    <x v="37"/>
    <x v="1"/>
    <x v="0"/>
    <x v="1"/>
    <x v="1"/>
    <x v="37"/>
    <n v="9"/>
    <x v="1"/>
    <n v="108000"/>
    <x v="0"/>
    <x v="1"/>
    <x v="0"/>
    <n v="0"/>
  </r>
  <r>
    <x v="38"/>
    <x v="2"/>
    <x v="1"/>
    <x v="2"/>
    <x v="2"/>
    <x v="38"/>
    <m/>
    <x v="3"/>
    <n v="0"/>
    <x v="0"/>
    <x v="2"/>
    <x v="0"/>
    <n v="10"/>
  </r>
  <r>
    <x v="39"/>
    <x v="3"/>
    <x v="1"/>
    <x v="3"/>
    <x v="3"/>
    <x v="39"/>
    <n v="16"/>
    <x v="4"/>
    <n v="136000"/>
    <x v="1"/>
    <x v="0"/>
    <x v="0"/>
    <n v="5"/>
  </r>
  <r>
    <x v="40"/>
    <x v="4"/>
    <x v="0"/>
    <x v="1"/>
    <x v="0"/>
    <x v="40"/>
    <n v="4"/>
    <x v="0"/>
    <n v="340000"/>
    <x v="0"/>
    <x v="2"/>
    <x v="1"/>
    <s v="N/A"/>
  </r>
  <r>
    <x v="41"/>
    <x v="5"/>
    <x v="0"/>
    <x v="2"/>
    <x v="1"/>
    <x v="41"/>
    <n v="13"/>
    <x v="1"/>
    <n v="156000"/>
    <x v="0"/>
    <x v="1"/>
    <x v="0"/>
    <n v="0"/>
  </r>
  <r>
    <x v="42"/>
    <x v="0"/>
    <x v="2"/>
    <x v="0"/>
    <x v="2"/>
    <x v="42"/>
    <m/>
    <x v="3"/>
    <n v="0"/>
    <x v="1"/>
    <x v="0"/>
    <x v="0"/>
    <n v="15"/>
  </r>
  <r>
    <x v="43"/>
    <x v="1"/>
    <x v="0"/>
    <x v="1"/>
    <x v="3"/>
    <x v="43"/>
    <n v="28"/>
    <x v="4"/>
    <n v="238000"/>
    <x v="0"/>
    <x v="0"/>
    <x v="0"/>
    <n v="0"/>
  </r>
  <r>
    <x v="44"/>
    <x v="2"/>
    <x v="0"/>
    <x v="2"/>
    <x v="0"/>
    <x v="44"/>
    <m/>
    <x v="2"/>
    <n v="0"/>
    <x v="0"/>
    <x v="2"/>
    <x v="3"/>
    <s v="N/A"/>
  </r>
  <r>
    <x v="45"/>
    <x v="3"/>
    <x v="2"/>
    <x v="3"/>
    <x v="1"/>
    <x v="45"/>
    <n v="6"/>
    <x v="1"/>
    <n v="72000"/>
    <x v="1"/>
    <x v="0"/>
    <x v="0"/>
    <n v="5"/>
  </r>
  <r>
    <x v="46"/>
    <x v="4"/>
    <x v="1"/>
    <x v="1"/>
    <x v="2"/>
    <x v="46"/>
    <n v="2"/>
    <x v="3"/>
    <n v="190000"/>
    <x v="0"/>
    <x v="1"/>
    <x v="0"/>
    <n v="0"/>
  </r>
  <r>
    <x v="47"/>
    <x v="5"/>
    <x v="0"/>
    <x v="2"/>
    <x v="3"/>
    <x v="47"/>
    <n v="35"/>
    <x v="4"/>
    <n v="297500"/>
    <x v="0"/>
    <x v="2"/>
    <x v="0"/>
    <n v="25"/>
  </r>
  <r>
    <x v="48"/>
    <x v="0"/>
    <x v="0"/>
    <x v="0"/>
    <x v="0"/>
    <x v="48"/>
    <n v="-3"/>
    <x v="0"/>
    <n v="-255000"/>
    <x v="1"/>
    <x v="0"/>
    <x v="0"/>
    <n v="0"/>
  </r>
  <r>
    <x v="49"/>
    <x v="1"/>
    <x v="0"/>
    <x v="1"/>
    <x v="1"/>
    <x v="49"/>
    <n v="11"/>
    <x v="1"/>
    <n v="132000"/>
    <x v="0"/>
    <x v="2"/>
    <x v="1"/>
    <n v="10"/>
  </r>
  <r>
    <x v="50"/>
    <x v="2"/>
    <x v="1"/>
    <x v="2"/>
    <x v="2"/>
    <x v="50"/>
    <m/>
    <x v="3"/>
    <n v="0"/>
    <x v="0"/>
    <x v="1"/>
    <x v="0"/>
    <n v="0"/>
  </r>
  <r>
    <x v="51"/>
    <x v="3"/>
    <x v="2"/>
    <x v="3"/>
    <x v="3"/>
    <x v="51"/>
    <n v="19"/>
    <x v="4"/>
    <n v="161500"/>
    <x v="1"/>
    <x v="0"/>
    <x v="0"/>
    <n v="5"/>
  </r>
  <r>
    <x v="52"/>
    <x v="4"/>
    <x v="0"/>
    <x v="1"/>
    <x v="0"/>
    <x v="52"/>
    <n v="7"/>
    <x v="2"/>
    <n v="315000"/>
    <x v="0"/>
    <x v="2"/>
    <x v="2"/>
    <n v="0"/>
  </r>
  <r>
    <x v="53"/>
    <x v="5"/>
    <x v="0"/>
    <x v="2"/>
    <x v="1"/>
    <x v="53"/>
    <n v="14"/>
    <x v="1"/>
    <n v="168000"/>
    <x v="0"/>
    <x v="0"/>
    <x v="0"/>
    <n v="15"/>
  </r>
  <r>
    <x v="54"/>
    <x v="0"/>
    <x v="2"/>
    <x v="0"/>
    <x v="2"/>
    <x v="54"/>
    <m/>
    <x v="3"/>
    <n v="0"/>
    <x v="1"/>
    <x v="1"/>
    <x v="0"/>
    <n v="0"/>
  </r>
  <r>
    <x v="55"/>
    <x v="1"/>
    <x v="0"/>
    <x v="1"/>
    <x v="3"/>
    <x v="55"/>
    <n v="24"/>
    <x v="4"/>
    <n v="204000"/>
    <x v="0"/>
    <x v="0"/>
    <x v="0"/>
    <n v="20"/>
  </r>
  <r>
    <x v="56"/>
    <x v="2"/>
    <x v="1"/>
    <x v="2"/>
    <x v="0"/>
    <x v="56"/>
    <m/>
    <x v="0"/>
    <n v="0"/>
    <x v="0"/>
    <x v="2"/>
    <x v="1"/>
    <s v="N/A"/>
  </r>
  <r>
    <x v="57"/>
    <x v="3"/>
    <x v="0"/>
    <x v="3"/>
    <x v="1"/>
    <x v="57"/>
    <n v="5"/>
    <x v="1"/>
    <n v="60000"/>
    <x v="1"/>
    <x v="0"/>
    <x v="0"/>
    <n v="5"/>
  </r>
  <r>
    <x v="58"/>
    <x v="4"/>
    <x v="0"/>
    <x v="1"/>
    <x v="2"/>
    <x v="58"/>
    <n v="3"/>
    <x v="3"/>
    <n v="285000"/>
    <x v="0"/>
    <x v="1"/>
    <x v="0"/>
    <n v="0"/>
  </r>
  <r>
    <x v="59"/>
    <x v="5"/>
    <x v="2"/>
    <x v="2"/>
    <x v="3"/>
    <x v="59"/>
    <n v="40"/>
    <x v="4"/>
    <n v="340000"/>
    <x v="1"/>
    <x v="2"/>
    <x v="0"/>
    <n v="30"/>
  </r>
  <r>
    <x v="60"/>
    <x v="0"/>
    <x v="0"/>
    <x v="0"/>
    <x v="0"/>
    <x v="60"/>
    <n v="-5"/>
    <x v="2"/>
    <n v="-225000"/>
    <x v="0"/>
    <x v="0"/>
    <x v="0"/>
    <n v="0"/>
  </r>
  <r>
    <x v="61"/>
    <x v="1"/>
    <x v="0"/>
    <x v="1"/>
    <x v="1"/>
    <x v="61"/>
    <m/>
    <x v="1"/>
    <n v="0"/>
    <x v="0"/>
    <x v="1"/>
    <x v="1"/>
    <n v="10"/>
  </r>
  <r>
    <x v="62"/>
    <x v="2"/>
    <x v="1"/>
    <x v="2"/>
    <x v="2"/>
    <x v="62"/>
    <n v="8"/>
    <x v="3"/>
    <n v="760000"/>
    <x v="1"/>
    <x v="0"/>
    <x v="3"/>
    <n v="0"/>
  </r>
  <r>
    <x v="63"/>
    <x v="3"/>
    <x v="2"/>
    <x v="3"/>
    <x v="3"/>
    <x v="63"/>
    <n v="13"/>
    <x v="4"/>
    <n v="110500"/>
    <x v="0"/>
    <x v="2"/>
    <x v="0"/>
    <n v="5"/>
  </r>
  <r>
    <x v="64"/>
    <x v="4"/>
    <x v="0"/>
    <x v="1"/>
    <x v="0"/>
    <x v="64"/>
    <n v="6"/>
    <x v="0"/>
    <n v="510000"/>
    <x v="0"/>
    <x v="0"/>
    <x v="0"/>
    <s v="N/A"/>
  </r>
  <r>
    <x v="65"/>
    <x v="5"/>
    <x v="0"/>
    <x v="2"/>
    <x v="1"/>
    <x v="65"/>
    <m/>
    <x v="1"/>
    <n v="0"/>
    <x v="1"/>
    <x v="0"/>
    <x v="0"/>
    <n v="15"/>
  </r>
  <r>
    <x v="66"/>
    <x v="0"/>
    <x v="0"/>
    <x v="0"/>
    <x v="2"/>
    <x v="66"/>
    <n v="4"/>
    <x v="3"/>
    <n v="380000"/>
    <x v="0"/>
    <x v="1"/>
    <x v="1"/>
    <n v="0"/>
  </r>
  <r>
    <x v="67"/>
    <x v="1"/>
    <x v="1"/>
    <x v="1"/>
    <x v="3"/>
    <x v="67"/>
    <n v="17"/>
    <x v="4"/>
    <n v="144500"/>
    <x v="0"/>
    <x v="2"/>
    <x v="0"/>
    <n v="10"/>
  </r>
  <r>
    <x v="68"/>
    <x v="2"/>
    <x v="2"/>
    <x v="2"/>
    <x v="0"/>
    <x v="68"/>
    <m/>
    <x v="2"/>
    <n v="0"/>
    <x v="1"/>
    <x v="0"/>
    <x v="0"/>
    <n v="0"/>
  </r>
  <r>
    <x v="69"/>
    <x v="3"/>
    <x v="0"/>
    <x v="3"/>
    <x v="1"/>
    <x v="69"/>
    <n v="9"/>
    <x v="1"/>
    <n v="108000"/>
    <x v="0"/>
    <x v="2"/>
    <x v="2"/>
    <n v="5"/>
  </r>
  <r>
    <x v="70"/>
    <x v="4"/>
    <x v="0"/>
    <x v="1"/>
    <x v="2"/>
    <x v="70"/>
    <n v="2"/>
    <x v="3"/>
    <n v="190000"/>
    <x v="0"/>
    <x v="1"/>
    <x v="0"/>
    <n v="0"/>
  </r>
  <r>
    <x v="71"/>
    <x v="5"/>
    <x v="2"/>
    <x v="2"/>
    <x v="3"/>
    <x v="71"/>
    <n v="31"/>
    <x v="4"/>
    <n v="263500"/>
    <x v="1"/>
    <x v="0"/>
    <x v="0"/>
    <n v="20"/>
  </r>
  <r>
    <x v="72"/>
    <x v="0"/>
    <x v="0"/>
    <x v="0"/>
    <x v="0"/>
    <x v="72"/>
    <m/>
    <x v="0"/>
    <n v="0"/>
    <x v="0"/>
    <x v="2"/>
    <x v="1"/>
    <s v="N/A"/>
  </r>
  <r>
    <x v="73"/>
    <x v="1"/>
    <x v="1"/>
    <x v="1"/>
    <x v="1"/>
    <x v="73"/>
    <n v="12"/>
    <x v="1"/>
    <n v="144000"/>
    <x v="0"/>
    <x v="0"/>
    <x v="0"/>
    <n v="10"/>
  </r>
  <r>
    <x v="74"/>
    <x v="2"/>
    <x v="0"/>
    <x v="2"/>
    <x v="2"/>
    <x v="74"/>
    <n v="5"/>
    <x v="3"/>
    <n v="475000"/>
    <x v="1"/>
    <x v="1"/>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094E96-8746-4919-9E66-0B21F67EEDD8}"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1:D22" firstHeaderRow="0" firstDataRow="1" firstDataCol="0"/>
  <pivotFields count="13">
    <pivotField dataField="1" showAll="0"/>
    <pivotField showAll="0"/>
    <pivotField showAll="0"/>
    <pivotField showAll="0"/>
    <pivotField showAll="0"/>
    <pivotField showAll="0"/>
    <pivotField dataField="1" showAll="0"/>
    <pivotField dataField="1" showAll="0"/>
    <pivotField dataField="1" showAll="0"/>
    <pivotField showAll="0"/>
    <pivotField showAll="0">
      <items count="4">
        <item x="2"/>
        <item x="0"/>
        <item x="1"/>
        <item t="default"/>
      </items>
    </pivotField>
    <pivotField showAll="0">
      <items count="5">
        <item x="3"/>
        <item x="2"/>
        <item x="0"/>
        <item x="1"/>
        <item t="default"/>
      </items>
    </pivotField>
    <pivotField showAll="0"/>
  </pivotFields>
  <rowItems count="1">
    <i/>
  </rowItems>
  <colFields count="1">
    <field x="-2"/>
  </colFields>
  <colItems count="4">
    <i>
      <x/>
    </i>
    <i i="1">
      <x v="1"/>
    </i>
    <i i="2">
      <x v="2"/>
    </i>
    <i i="3">
      <x v="3"/>
    </i>
  </colItems>
  <dataFields count="4">
    <dataField name="Count of Emp ID" fld="0" subtotal="count" baseField="0" baseItem="0"/>
    <dataField name="Sum of Total Revenue" fld="8" baseField="0" baseItem="0"/>
    <dataField name="Sum of Unit price" fld="7" baseField="0" baseItem="0"/>
    <dataField name="Sum of Qty Sold" fld="6"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0EA18D-48DD-407D-B1A5-838AE5C603A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8" firstHeaderRow="1" firstDataRow="1" firstDataCol="1"/>
  <pivotFields count="13">
    <pivotField showAll="0"/>
    <pivotField showAll="0"/>
    <pivotField showAll="0"/>
    <pivotField showAll="0"/>
    <pivotField axis="axisRow" showAll="0">
      <items count="5">
        <item x="1"/>
        <item x="0"/>
        <item x="3"/>
        <item x="2"/>
        <item t="default"/>
      </items>
    </pivotField>
    <pivotField showAll="0"/>
    <pivotField showAll="0"/>
    <pivotField dataField="1" showAll="0"/>
    <pivotField showAll="0"/>
    <pivotField showAll="0"/>
    <pivotField showAll="0">
      <items count="4">
        <item x="2"/>
        <item x="0"/>
        <item x="1"/>
        <item t="default"/>
      </items>
    </pivotField>
    <pivotField showAll="0">
      <items count="5">
        <item x="3"/>
        <item x="2"/>
        <item x="0"/>
        <item x="1"/>
        <item t="default"/>
      </items>
    </pivotField>
    <pivotField showAll="0"/>
  </pivotFields>
  <rowFields count="1">
    <field x="4"/>
  </rowFields>
  <rowItems count="5">
    <i>
      <x/>
    </i>
    <i>
      <x v="1"/>
    </i>
    <i>
      <x v="2"/>
    </i>
    <i>
      <x v="3"/>
    </i>
    <i t="grand">
      <x/>
    </i>
  </rowItems>
  <colItems count="1">
    <i/>
  </colItems>
  <dataFields count="1">
    <dataField name="Sum of Unit price" fld="7" baseField="0" baseItem="0" numFmtId="164"/>
  </dataFields>
  <formats count="1">
    <format dxfId="1">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98CFD1-53F6-43A6-833B-B754F974B265}"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H3:I8" firstHeaderRow="1" firstDataRow="1" firstDataCol="1"/>
  <pivotFields count="13">
    <pivotField axis="axisRow"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showAll="0"/>
    <pivotField showAll="0"/>
    <pivotField showAll="0"/>
    <pivotField axis="axisRow" showAll="0">
      <items count="5">
        <item sd="0" x="1"/>
        <item sd="0" x="0"/>
        <item sd="0" x="3"/>
        <item sd="0" x="2"/>
        <item t="default" sd="0"/>
      </items>
    </pivotField>
    <pivotField showAll="0"/>
    <pivotField dataField="1" showAll="0"/>
    <pivotField showAll="0"/>
    <pivotField showAll="0"/>
    <pivotField showAll="0"/>
    <pivotField showAll="0">
      <items count="4">
        <item x="2"/>
        <item x="0"/>
        <item x="1"/>
        <item t="default"/>
      </items>
    </pivotField>
    <pivotField showAll="0">
      <items count="5">
        <item x="3"/>
        <item x="2"/>
        <item x="0"/>
        <item x="1"/>
        <item t="default"/>
      </items>
    </pivotField>
    <pivotField showAll="0"/>
  </pivotFields>
  <rowFields count="2">
    <field x="4"/>
    <field x="0"/>
  </rowFields>
  <rowItems count="5">
    <i>
      <x/>
    </i>
    <i>
      <x v="1"/>
    </i>
    <i>
      <x v="2"/>
    </i>
    <i>
      <x v="3"/>
    </i>
    <i t="grand">
      <x/>
    </i>
  </rowItems>
  <colItems count="1">
    <i/>
  </colItems>
  <dataFields count="1">
    <dataField name="Sum of Qty Sold" fld="6" baseField="0" baseItem="0"/>
  </dataFields>
  <formats count="1">
    <format dxfId="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0FE5CD-136C-4608-BF16-D3A9B6746BF1}"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H10:I14" firstHeaderRow="1" firstDataRow="1" firstDataCol="1"/>
  <pivotFields count="13">
    <pivotField axis="axisRow"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showAll="0"/>
    <pivotField showAll="0"/>
    <pivotField showAll="0"/>
    <pivotField showAll="0"/>
    <pivotField showAll="0"/>
    <pivotField showAll="0"/>
    <pivotField showAll="0"/>
    <pivotField dataField="1" showAll="0"/>
    <pivotField showAll="0"/>
    <pivotField axis="axisRow" showAll="0">
      <items count="4">
        <item sd="0" x="2"/>
        <item sd="0" x="0"/>
        <item sd="0" x="1"/>
        <item t="default" sd="0"/>
      </items>
    </pivotField>
    <pivotField showAll="0">
      <items count="5">
        <item x="3"/>
        <item x="2"/>
        <item x="0"/>
        <item x="1"/>
        <item t="default"/>
      </items>
    </pivotField>
    <pivotField showAll="0"/>
  </pivotFields>
  <rowFields count="2">
    <field x="10"/>
    <field x="0"/>
  </rowFields>
  <rowItems count="4">
    <i>
      <x/>
    </i>
    <i>
      <x v="1"/>
    </i>
    <i>
      <x v="2"/>
    </i>
    <i t="grand">
      <x/>
    </i>
  </rowItems>
  <colItems count="1">
    <i/>
  </colItems>
  <dataFields count="1">
    <dataField name="Sum of Total Revenue" fld="8" baseField="0" baseItem="0"/>
  </dataFields>
  <formats count="1">
    <format dxfId="3">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 chart="2" format="7">
      <pivotArea type="data" outline="0" fieldPosition="0">
        <references count="2">
          <reference field="4294967294" count="1" selected="0">
            <x v="0"/>
          </reference>
          <reference field="10" count="1" selected="0">
            <x v="1"/>
          </reference>
        </references>
      </pivotArea>
    </chartFormat>
    <chartFormat chart="2"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F8E930-403E-4D20-B9E3-F2ACC2F6E5E1}"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H16:I21" firstHeaderRow="1" firstDataRow="1" firstDataCol="1"/>
  <pivotFields count="13">
    <pivotField axis="axisRow"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showAll="0"/>
    <pivotField showAll="0"/>
    <pivotField showAll="0"/>
    <pivotField showAll="0"/>
    <pivotField showAll="0"/>
    <pivotField dataField="1" showAll="0"/>
    <pivotField showAll="0"/>
    <pivotField showAll="0"/>
    <pivotField showAll="0"/>
    <pivotField showAll="0">
      <items count="4">
        <item x="2"/>
        <item x="0"/>
        <item x="1"/>
        <item t="default"/>
      </items>
    </pivotField>
    <pivotField axis="axisRow" showAll="0">
      <items count="5">
        <item sd="0" x="3"/>
        <item sd="0" x="2"/>
        <item sd="0" x="0"/>
        <item sd="0" x="1"/>
        <item t="default" sd="0"/>
      </items>
    </pivotField>
    <pivotField showAll="0"/>
  </pivotFields>
  <rowFields count="2">
    <field x="11"/>
    <field x="0"/>
  </rowFields>
  <rowItems count="5">
    <i>
      <x/>
    </i>
    <i>
      <x v="1"/>
    </i>
    <i>
      <x v="2"/>
    </i>
    <i>
      <x v="3"/>
    </i>
    <i t="grand">
      <x/>
    </i>
  </rowItems>
  <colItems count="1">
    <i/>
  </colItems>
  <dataFields count="1">
    <dataField name="Sum of Qty Sold" fld="6" baseField="0" baseItem="0"/>
  </dataFields>
  <formats count="1">
    <format dxfId="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0100EF-CE4B-4087-B067-0D1020355BA8}"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2:F18" firstHeaderRow="1" firstDataRow="2" firstDataCol="1"/>
  <pivotFields count="13">
    <pivotField showAll="0"/>
    <pivotField showAll="0"/>
    <pivotField showAll="0"/>
    <pivotField axis="axisRow" showAll="0">
      <items count="5">
        <item x="2"/>
        <item x="1"/>
        <item x="0"/>
        <item x="3"/>
        <item t="default"/>
      </items>
    </pivotField>
    <pivotField axis="axisCol" showAll="0">
      <items count="5">
        <item x="1"/>
        <item x="0"/>
        <item x="3"/>
        <item x="2"/>
        <item t="default"/>
      </items>
    </pivotField>
    <pivotField showAll="0"/>
    <pivotField showAll="0"/>
    <pivotField showAll="0"/>
    <pivotField dataField="1" showAll="0"/>
    <pivotField showAll="0"/>
    <pivotField showAll="0">
      <items count="4">
        <item x="2"/>
        <item x="0"/>
        <item x="1"/>
        <item t="default"/>
      </items>
    </pivotField>
    <pivotField showAll="0">
      <items count="5">
        <item x="3"/>
        <item x="2"/>
        <item x="0"/>
        <item x="1"/>
        <item t="default"/>
      </items>
    </pivotField>
    <pivotField showAll="0"/>
  </pivotFields>
  <rowFields count="1">
    <field x="3"/>
  </rowFields>
  <rowItems count="5">
    <i>
      <x/>
    </i>
    <i>
      <x v="1"/>
    </i>
    <i>
      <x v="2"/>
    </i>
    <i>
      <x v="3"/>
    </i>
    <i t="grand">
      <x/>
    </i>
  </rowItems>
  <colFields count="1">
    <field x="4"/>
  </colFields>
  <colItems count="5">
    <i>
      <x/>
    </i>
    <i>
      <x v="1"/>
    </i>
    <i>
      <x v="2"/>
    </i>
    <i>
      <x v="3"/>
    </i>
    <i t="grand">
      <x/>
    </i>
  </colItems>
  <dataFields count="1">
    <dataField name="Sum of Total Revenue" fld="8" baseField="0" baseItem="0"/>
  </dataFields>
  <formats count="1">
    <format dxfId="5">
      <pivotArea outline="0" collapsedLevelsAreSubtotals="1" fieldPosition="0"/>
    </format>
  </formats>
  <chartFormats count="5">
    <chartFormat chart="3" format="8" series="1">
      <pivotArea type="data" outline="0" fieldPosition="0">
        <references count="2">
          <reference field="4294967294" count="1" selected="0">
            <x v="0"/>
          </reference>
          <reference field="4" count="1" selected="0">
            <x v="0"/>
          </reference>
        </references>
      </pivotArea>
    </chartFormat>
    <chartFormat chart="3" format="9" series="1">
      <pivotArea type="data" outline="0" fieldPosition="0">
        <references count="2">
          <reference field="4294967294" count="1" selected="0">
            <x v="0"/>
          </reference>
          <reference field="4" count="1" selected="0">
            <x v="1"/>
          </reference>
        </references>
      </pivotArea>
    </chartFormat>
    <chartFormat chart="3" format="10" series="1">
      <pivotArea type="data" outline="0" fieldPosition="0">
        <references count="2">
          <reference field="4294967294" count="1" selected="0">
            <x v="0"/>
          </reference>
          <reference field="4" count="1" selected="0">
            <x v="2"/>
          </reference>
        </references>
      </pivotArea>
    </chartFormat>
    <chartFormat chart="3" format="11" series="1">
      <pivotArea type="data" outline="0" fieldPosition="0">
        <references count="2">
          <reference field="4294967294" count="1" selected="0">
            <x v="0"/>
          </reference>
          <reference field="4" count="1" selected="0">
            <x v="3"/>
          </reference>
        </references>
      </pivotArea>
    </chartFormat>
    <chartFormat chart="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00838B-1B6B-4A9E-B5C4-C51A4D98EA0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3:F10" firstHeaderRow="0" firstDataRow="1" firstDataCol="1"/>
  <pivotFields count="13">
    <pivotField showAll="0"/>
    <pivotField axis="axisRow" showAll="0">
      <items count="7">
        <item x="0"/>
        <item x="5"/>
        <item x="3"/>
        <item x="4"/>
        <item x="2"/>
        <item x="1"/>
        <item t="default"/>
      </items>
    </pivotField>
    <pivotField showAll="0"/>
    <pivotField showAll="0"/>
    <pivotField showAll="0"/>
    <pivotField showAll="0"/>
    <pivotField dataField="1" showAll="0"/>
    <pivotField showAll="0"/>
    <pivotField dataField="1" showAll="0"/>
    <pivotField showAll="0"/>
    <pivotField showAll="0">
      <items count="4">
        <item x="2"/>
        <item x="0"/>
        <item x="1"/>
        <item t="default"/>
      </items>
    </pivotField>
    <pivotField showAll="0">
      <items count="5">
        <item x="3"/>
        <item x="2"/>
        <item x="0"/>
        <item x="1"/>
        <item t="default"/>
      </items>
    </pivotField>
    <pivotField showAll="0"/>
  </pivotFields>
  <rowFields count="1">
    <field x="1"/>
  </rowFields>
  <rowItems count="7">
    <i>
      <x/>
    </i>
    <i>
      <x v="1"/>
    </i>
    <i>
      <x v="2"/>
    </i>
    <i>
      <x v="3"/>
    </i>
    <i>
      <x v="4"/>
    </i>
    <i>
      <x v="5"/>
    </i>
    <i t="grand">
      <x/>
    </i>
  </rowItems>
  <colFields count="1">
    <field x="-2"/>
  </colFields>
  <colItems count="2">
    <i>
      <x/>
    </i>
    <i i="1">
      <x v="1"/>
    </i>
  </colItems>
  <dataFields count="2">
    <dataField name="Sum of Qty Sold" fld="6" baseField="0" baseItem="0"/>
    <dataField name="Sum of Total Revenue" fld="8" baseField="0" baseItem="0"/>
  </dataFields>
  <formats count="1">
    <format dxfId="6">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B3BB50D-5FF5-4FC4-B085-41CCAF4F86A3}" autoFormatId="16" applyNumberFormats="0" applyBorderFormats="0" applyFontFormats="0" applyPatternFormats="0" applyAlignmentFormats="0" applyWidthHeightFormats="0">
  <queryTableRefresh nextId="14">
    <queryTableFields count="13">
      <queryTableField id="1" name="Emp ID" tableColumnId="1"/>
      <queryTableField id="2" name="Employee Name" tableColumnId="2"/>
      <queryTableField id="3" name="Department" tableColumnId="3"/>
      <queryTableField id="4" name="Region" tableColumnId="4"/>
      <queryTableField id="5" name="Product Category" tableColumnId="5"/>
      <queryTableField id="6" name="Date of sale" tableColumnId="6"/>
      <queryTableField id="7" name="Qty Sold" tableColumnId="7"/>
      <queryTableField id="8" name="Unit Price" tableColumnId="8"/>
      <queryTableField id="9" name="Total Revenue" tableColumnId="9"/>
      <queryTableField id="10" name="Customer Type" tableColumnId="10"/>
      <queryTableField id="11" name="Payment Method" tableColumnId="11"/>
      <queryTableField id="12" name="Order Status" tableColumnId="12"/>
      <queryTableField id="13" name="Discount (%)"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B91875F-BD2A-441D-BDF2-B8C76725568A}" sourceName="Payment Method">
  <pivotTables>
    <pivotTable tabId="3" name="PivotTable1"/>
    <pivotTable tabId="3" name="PivotTable11"/>
    <pivotTable tabId="3" name="PivotTable13"/>
    <pivotTable tabId="3" name="PivotTable3"/>
    <pivotTable tabId="3" name="PivotTable5"/>
    <pivotTable tabId="3" name="PivotTable7"/>
    <pivotTable tabId="3" name="PivotTable9"/>
  </pivotTables>
  <data>
    <tabular pivotCacheId="200937762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A30417CE-1697-4C38-8622-04CD04E7DEE4}" sourceName="Order Status">
  <pivotTables>
    <pivotTable tabId="3" name="PivotTable1"/>
    <pivotTable tabId="3" name="PivotTable11"/>
    <pivotTable tabId="3" name="PivotTable13"/>
    <pivotTable tabId="3" name="PivotTable3"/>
    <pivotTable tabId="3" name="PivotTable5"/>
    <pivotTable tabId="3" name="PivotTable7"/>
    <pivotTable tabId="3" name="PivotTable9"/>
  </pivotTables>
  <data>
    <tabular pivotCacheId="2009377624">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94B2BE1C-7928-4D60-B157-51C8A755407B}" cache="Slicer_Payment_Method" caption="Payment Method" rowHeight="241300"/>
  <slicer name="Order Status" xr10:uid="{D5AC53F8-2A77-4B8A-8F96-097167C0B6AB}" cache="Slicer_Order_Status" caption="Order Status" startItem="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F9BFC6-23FB-4871-9B94-11A1758BDAC6}" name="Table1" displayName="Table1" ref="A1:M76" totalsRowShown="0">
  <autoFilter ref="A1:M76" xr:uid="{55F9BFC6-23FB-4871-9B94-11A1758BDAC6}"/>
  <tableColumns count="13">
    <tableColumn id="1" xr3:uid="{5E1C5F6C-81D2-4466-AFD3-180A4A76F299}" name="Emp ID"/>
    <tableColumn id="2" xr3:uid="{75258CA8-4350-4F90-BF97-947AE8A44644}" name="employee Name"/>
    <tableColumn id="3" xr3:uid="{63F255A1-A0D8-4515-BF52-4A8F35E3AABF}" name="DEPARTMENT"/>
    <tableColumn id="4" xr3:uid="{01CBB30B-D4A5-43FF-8F41-F5BD322C9B86}" name="Region"/>
    <tableColumn id="5" xr3:uid="{417041BD-13CA-4AE3-A240-237F20BE290A}" name="Product Category"/>
    <tableColumn id="6" xr3:uid="{51590547-8C97-4E53-A4F3-2C504AAF7F03}" name="Date of sale"/>
    <tableColumn id="7" xr3:uid="{989FBE57-A3C1-4F17-9E15-BD038D4310D2}" name="Qty Sold"/>
    <tableColumn id="8" xr3:uid="{A993D857-BB1A-4B03-8AEB-C7EADD3253BA}" name="Unit price"/>
    <tableColumn id="9" xr3:uid="{652A6EEA-55A3-402A-9AFF-55025EC9A711}" name="Total Revenue" dataDxfId="20">
      <calculatedColumnFormula>Table1[[#This Row],[Unit price]]*Table1[[#This Row],[Qty Sold]]</calculatedColumnFormula>
    </tableColumn>
    <tableColumn id="10" xr3:uid="{ABBD11B9-18D4-4EC2-A000-2899AB4FCB87}" name="Customer Type"/>
    <tableColumn id="11" xr3:uid="{20A1FD67-0059-4858-8432-D72121896F77}" name="Payment Method"/>
    <tableColumn id="12" xr3:uid="{90B80F64-5A1F-4862-91B0-0757564B17F2}" name="Order Status"/>
    <tableColumn id="13" xr3:uid="{2D34C5A3-6ACE-436F-88F5-A1ED3CB5795B}" name="Discount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ED51FE-3F93-4BA0-B822-76B921639297}" name="Table1__2" displayName="Table1__2" ref="A1:M76" tableType="queryTable" totalsRowShown="0">
  <autoFilter ref="A1:M76" xr:uid="{EFED51FE-3F93-4BA0-B822-76B921639297}"/>
  <tableColumns count="13">
    <tableColumn id="1" xr3:uid="{8EC79F0F-3641-4A5C-8DF7-2F13F3F19E97}" uniqueName="1" name="Emp ID" queryTableFieldId="1" dataDxfId="19"/>
    <tableColumn id="2" xr3:uid="{84C98559-9778-4C84-ABC7-4B3D0E9FCC8D}" uniqueName="2" name="Employee Name" queryTableFieldId="2" dataDxfId="18"/>
    <tableColumn id="3" xr3:uid="{006BA2A6-065E-4687-A5F1-F58657A55D18}" uniqueName="3" name="Department" queryTableFieldId="3" dataDxfId="17"/>
    <tableColumn id="4" xr3:uid="{5A9B447A-72C4-4B34-A0E5-0CC6A68A211B}" uniqueName="4" name="Region" queryTableFieldId="4" dataDxfId="16"/>
    <tableColumn id="5" xr3:uid="{1ADB9A6C-F8B4-4D8E-BE67-FACD118A5953}" uniqueName="5" name="Product Category" queryTableFieldId="5" dataDxfId="15"/>
    <tableColumn id="6" xr3:uid="{8A6643A2-C260-444E-9A2F-4A312A7D1A0B}" uniqueName="6" name="Date of sale" queryTableFieldId="6" dataDxfId="14"/>
    <tableColumn id="7" xr3:uid="{7A32FD8A-74E0-4302-80CE-BFC60EFB0E6D}" uniqueName="7" name="Qty Sold" queryTableFieldId="7" dataDxfId="13"/>
    <tableColumn id="8" xr3:uid="{299F8C7C-46CA-40A4-9326-432AEA49AB6F}" uniqueName="8" name="Unit Price" queryTableFieldId="8" dataDxfId="12"/>
    <tableColumn id="9" xr3:uid="{493A7BE8-5C0A-4787-A8C4-8806DFE194C8}" uniqueName="9" name="Total Revenue" queryTableFieldId="9" dataDxfId="11"/>
    <tableColumn id="10" xr3:uid="{036C762A-24A6-45E1-B367-E8397B0DE7DE}" uniqueName="10" name="Customer Type" queryTableFieldId="10" dataDxfId="10"/>
    <tableColumn id="11" xr3:uid="{6D97E2FE-6DA2-400A-B296-D30A0C214FD9}" uniqueName="11" name="Payment Method" queryTableFieldId="11" dataDxfId="9"/>
    <tableColumn id="12" xr3:uid="{11EE51B0-7E41-4F93-9874-C6E5E4A10C96}" uniqueName="12" name="Order Status" queryTableFieldId="12" dataDxfId="8"/>
    <tableColumn id="13" xr3:uid="{E52229BC-5F41-41CC-B601-59A0661934DC}" uniqueName="13" name="Discount (%)" queryTableFieldId="13"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M100"/>
  <sheetViews>
    <sheetView workbookViewId="0">
      <selection activeCell="F16" sqref="F16"/>
    </sheetView>
  </sheetViews>
  <sheetFormatPr defaultColWidth="14.453125" defaultRowHeight="15" customHeight="1" x14ac:dyDescent="0.35"/>
  <cols>
    <col min="1" max="1" width="8.81640625" customWidth="1"/>
    <col min="2" max="2" width="22" customWidth="1"/>
    <col min="3" max="3" width="14.453125" customWidth="1"/>
    <col min="4" max="4" width="10" customWidth="1"/>
    <col min="5" max="5" width="18" customWidth="1"/>
    <col min="6" max="6" width="14" customWidth="1"/>
    <col min="7" max="7" width="10" customWidth="1"/>
    <col min="8" max="8" width="12" customWidth="1"/>
    <col min="9" max="9" width="15" customWidth="1"/>
    <col min="10" max="10" width="15.453125" customWidth="1"/>
    <col min="11" max="11" width="17.453125" customWidth="1"/>
    <col min="12" max="12" width="14" customWidth="1"/>
    <col min="13" max="13" width="13.36328125" customWidth="1"/>
  </cols>
  <sheetData>
    <row r="1" spans="1:13" ht="14.25" customHeight="1" x14ac:dyDescent="0.35">
      <c r="A1" t="s">
        <v>0</v>
      </c>
      <c r="B1" t="s">
        <v>1</v>
      </c>
      <c r="C1" t="s">
        <v>2</v>
      </c>
      <c r="D1" t="s">
        <v>3</v>
      </c>
      <c r="E1" t="s">
        <v>4</v>
      </c>
      <c r="F1" t="s">
        <v>5</v>
      </c>
      <c r="G1" t="s">
        <v>6</v>
      </c>
      <c r="H1" t="s">
        <v>7</v>
      </c>
      <c r="I1" t="s">
        <v>8</v>
      </c>
      <c r="J1" t="s">
        <v>9</v>
      </c>
      <c r="K1" t="s">
        <v>10</v>
      </c>
      <c r="L1" t="s">
        <v>11</v>
      </c>
      <c r="M1" t="s">
        <v>12</v>
      </c>
    </row>
    <row r="2" spans="1:13" ht="14.25" customHeight="1" x14ac:dyDescent="0.35">
      <c r="A2" t="s">
        <v>13</v>
      </c>
      <c r="B2" t="s">
        <v>14</v>
      </c>
      <c r="C2" t="s">
        <v>15</v>
      </c>
      <c r="D2" t="s">
        <v>16</v>
      </c>
      <c r="E2" t="s">
        <v>17</v>
      </c>
      <c r="F2" t="s">
        <v>18</v>
      </c>
      <c r="G2">
        <v>3</v>
      </c>
      <c r="H2">
        <v>85000</v>
      </c>
      <c r="I2">
        <f>Table1[[#This Row],[Unit price]]*Table1[[#This Row],[Qty Sold]]</f>
        <v>255000</v>
      </c>
      <c r="J2" t="s">
        <v>19</v>
      </c>
      <c r="K2" t="s">
        <v>20</v>
      </c>
      <c r="L2" t="s">
        <v>21</v>
      </c>
      <c r="M2">
        <v>0</v>
      </c>
    </row>
    <row r="3" spans="1:13" ht="14.25" customHeight="1" x14ac:dyDescent="0.35">
      <c r="A3" t="s">
        <v>22</v>
      </c>
      <c r="B3" t="s">
        <v>23</v>
      </c>
      <c r="C3" t="s">
        <v>24</v>
      </c>
      <c r="D3" t="s">
        <v>25</v>
      </c>
      <c r="E3" t="s">
        <v>26</v>
      </c>
      <c r="F3" t="s">
        <v>27</v>
      </c>
      <c r="G3">
        <v>7</v>
      </c>
      <c r="H3">
        <v>12000</v>
      </c>
      <c r="I3">
        <f>Table1[[#This Row],[Unit price]]*Table1[[#This Row],[Qty Sold]]</f>
        <v>84000</v>
      </c>
      <c r="J3" t="s">
        <v>28</v>
      </c>
      <c r="K3" t="s">
        <v>29</v>
      </c>
      <c r="L3" t="s">
        <v>30</v>
      </c>
      <c r="M3">
        <v>5</v>
      </c>
    </row>
    <row r="4" spans="1:13" ht="14.25" customHeight="1" x14ac:dyDescent="0.35">
      <c r="A4" t="s">
        <v>31</v>
      </c>
      <c r="B4" t="s">
        <v>32</v>
      </c>
      <c r="C4" t="s">
        <v>33</v>
      </c>
      <c r="D4" t="s">
        <v>34</v>
      </c>
      <c r="E4" t="s">
        <v>17</v>
      </c>
      <c r="F4" t="s">
        <v>35</v>
      </c>
      <c r="G4">
        <v>0</v>
      </c>
      <c r="H4">
        <v>45000</v>
      </c>
      <c r="I4">
        <f>Table1[[#This Row],[Unit price]]*Table1[[#This Row],[Qty Sold]]</f>
        <v>0</v>
      </c>
      <c r="J4" t="s">
        <v>19</v>
      </c>
      <c r="K4" t="s">
        <v>36</v>
      </c>
      <c r="L4" t="s">
        <v>37</v>
      </c>
      <c r="M4">
        <v>10</v>
      </c>
    </row>
    <row r="5" spans="1:13" ht="14.25" customHeight="1" x14ac:dyDescent="0.35">
      <c r="A5" t="s">
        <v>38</v>
      </c>
      <c r="B5" t="s">
        <v>39</v>
      </c>
      <c r="C5" t="s">
        <v>15</v>
      </c>
      <c r="D5" t="s">
        <v>40</v>
      </c>
      <c r="E5" t="s">
        <v>41</v>
      </c>
      <c r="F5" t="s">
        <v>42</v>
      </c>
      <c r="G5">
        <v>5</v>
      </c>
      <c r="H5">
        <v>95000</v>
      </c>
      <c r="I5">
        <f>Table1[[#This Row],[Unit price]]*Table1[[#This Row],[Qty Sold]]</f>
        <v>475000</v>
      </c>
      <c r="J5" t="s">
        <v>28</v>
      </c>
      <c r="K5" t="s">
        <v>20</v>
      </c>
      <c r="L5" t="s">
        <v>43</v>
      </c>
      <c r="M5">
        <v>0</v>
      </c>
    </row>
    <row r="6" spans="1:13" ht="14.25" customHeight="1" x14ac:dyDescent="0.35">
      <c r="A6" t="s">
        <v>44</v>
      </c>
      <c r="B6" t="s">
        <v>45</v>
      </c>
      <c r="C6" t="s">
        <v>46</v>
      </c>
      <c r="D6" t="s">
        <v>25</v>
      </c>
      <c r="E6" t="s">
        <v>26</v>
      </c>
      <c r="F6" t="s">
        <v>47</v>
      </c>
      <c r="G6">
        <v>10</v>
      </c>
      <c r="H6">
        <v>12000</v>
      </c>
      <c r="I6">
        <f>Table1[[#This Row],[Unit price]]*Table1[[#This Row],[Qty Sold]]</f>
        <v>120000</v>
      </c>
      <c r="J6" t="s">
        <v>19</v>
      </c>
      <c r="K6" t="s">
        <v>48</v>
      </c>
      <c r="L6" t="s">
        <v>21</v>
      </c>
      <c r="M6">
        <v>15</v>
      </c>
    </row>
    <row r="7" spans="1:13" ht="14.25" customHeight="1" x14ac:dyDescent="0.35">
      <c r="A7" t="s">
        <v>49</v>
      </c>
      <c r="B7" t="s">
        <v>50</v>
      </c>
      <c r="C7" t="s">
        <v>15</v>
      </c>
      <c r="D7" t="s">
        <v>34</v>
      </c>
      <c r="E7" t="s">
        <v>17</v>
      </c>
      <c r="F7" t="s">
        <v>51</v>
      </c>
      <c r="G7">
        <v>4</v>
      </c>
      <c r="H7">
        <v>85000</v>
      </c>
      <c r="I7">
        <f>Table1[[#This Row],[Unit price]]*Table1[[#This Row],[Qty Sold]]</f>
        <v>340000</v>
      </c>
      <c r="J7" t="s">
        <v>19</v>
      </c>
      <c r="K7" t="s">
        <v>52</v>
      </c>
      <c r="L7" t="s">
        <v>53</v>
      </c>
      <c r="M7">
        <v>0</v>
      </c>
    </row>
    <row r="8" spans="1:13" ht="14.25" customHeight="1" x14ac:dyDescent="0.35">
      <c r="A8" t="s">
        <v>54</v>
      </c>
      <c r="B8" t="s">
        <v>55</v>
      </c>
      <c r="C8" t="s">
        <v>56</v>
      </c>
      <c r="D8" t="s">
        <v>16</v>
      </c>
      <c r="E8" t="s">
        <v>41</v>
      </c>
      <c r="F8" t="s">
        <v>57</v>
      </c>
      <c r="G8">
        <v>0</v>
      </c>
      <c r="H8">
        <v>95000</v>
      </c>
      <c r="I8">
        <f>Table1[[#This Row],[Unit price]]*Table1[[#This Row],[Qty Sold]]</f>
        <v>0</v>
      </c>
      <c r="J8" t="s">
        <v>28</v>
      </c>
      <c r="K8" t="s">
        <v>29</v>
      </c>
      <c r="L8" t="s">
        <v>21</v>
      </c>
      <c r="M8">
        <v>5</v>
      </c>
    </row>
    <row r="9" spans="1:13" ht="14.25" customHeight="1" x14ac:dyDescent="0.35">
      <c r="A9" t="s">
        <v>58</v>
      </c>
      <c r="B9" t="s">
        <v>59</v>
      </c>
      <c r="C9" t="s">
        <v>60</v>
      </c>
      <c r="D9" t="s">
        <v>25</v>
      </c>
      <c r="E9" t="s">
        <v>61</v>
      </c>
      <c r="F9" t="s">
        <v>62</v>
      </c>
      <c r="G9">
        <v>12</v>
      </c>
      <c r="H9">
        <v>8500</v>
      </c>
      <c r="I9">
        <f>Table1[[#This Row],[Unit price]]*Table1[[#This Row],[Qty Sold]]</f>
        <v>102000</v>
      </c>
      <c r="J9" t="s">
        <v>19</v>
      </c>
      <c r="K9" t="s">
        <v>20</v>
      </c>
      <c r="L9" t="s">
        <v>37</v>
      </c>
      <c r="M9">
        <v>0</v>
      </c>
    </row>
    <row r="10" spans="1:13" ht="14.25" customHeight="1" x14ac:dyDescent="0.35">
      <c r="A10" t="s">
        <v>63</v>
      </c>
      <c r="B10" t="s">
        <v>64</v>
      </c>
      <c r="C10" t="s">
        <v>65</v>
      </c>
      <c r="D10" t="s">
        <v>34</v>
      </c>
      <c r="E10" t="s">
        <v>26</v>
      </c>
      <c r="F10" t="s">
        <v>66</v>
      </c>
      <c r="G10">
        <v>6</v>
      </c>
      <c r="H10">
        <v>12000</v>
      </c>
      <c r="I10">
        <f>Table1[[#This Row],[Unit price]]*Table1[[#This Row],[Qty Sold]]</f>
        <v>72000</v>
      </c>
      <c r="J10" t="s">
        <v>19</v>
      </c>
      <c r="K10" t="s">
        <v>36</v>
      </c>
      <c r="L10" t="s">
        <v>30</v>
      </c>
      <c r="M10">
        <v>10</v>
      </c>
    </row>
    <row r="11" spans="1:13" ht="14.25" customHeight="1" x14ac:dyDescent="0.35">
      <c r="A11" t="s">
        <v>67</v>
      </c>
      <c r="B11" t="s">
        <v>68</v>
      </c>
      <c r="C11" t="s">
        <v>15</v>
      </c>
      <c r="D11" t="s">
        <v>40</v>
      </c>
      <c r="E11" t="s">
        <v>17</v>
      </c>
      <c r="F11" t="s">
        <v>69</v>
      </c>
      <c r="G11">
        <v>2</v>
      </c>
      <c r="H11">
        <v>45000</v>
      </c>
      <c r="I11">
        <f>Table1[[#This Row],[Unit price]]*Table1[[#This Row],[Qty Sold]]</f>
        <v>90000</v>
      </c>
      <c r="J11" t="s">
        <v>28</v>
      </c>
      <c r="K11" t="s">
        <v>29</v>
      </c>
      <c r="L11" t="s">
        <v>21</v>
      </c>
      <c r="M11">
        <v>0</v>
      </c>
    </row>
    <row r="12" spans="1:13" ht="14.25" customHeight="1" x14ac:dyDescent="0.35">
      <c r="A12" t="s">
        <v>70</v>
      </c>
      <c r="B12" t="s">
        <v>71</v>
      </c>
      <c r="C12" t="s">
        <v>15</v>
      </c>
      <c r="D12" t="s">
        <v>25</v>
      </c>
      <c r="E12" t="s">
        <v>41</v>
      </c>
      <c r="F12" t="s">
        <v>72</v>
      </c>
      <c r="G12">
        <v>0</v>
      </c>
      <c r="H12">
        <v>95000</v>
      </c>
      <c r="I12">
        <f>Table1[[#This Row],[Unit price]]*Table1[[#This Row],[Qty Sold]]</f>
        <v>0</v>
      </c>
      <c r="J12" t="s">
        <v>19</v>
      </c>
      <c r="K12" t="s">
        <v>20</v>
      </c>
      <c r="L12" t="s">
        <v>73</v>
      </c>
      <c r="M12">
        <v>0</v>
      </c>
    </row>
    <row r="13" spans="1:13" ht="14.25" customHeight="1" x14ac:dyDescent="0.35">
      <c r="A13" t="s">
        <v>74</v>
      </c>
      <c r="B13" t="s">
        <v>50</v>
      </c>
      <c r="C13" t="s">
        <v>75</v>
      </c>
      <c r="D13" t="s">
        <v>34</v>
      </c>
      <c r="E13" t="s">
        <v>61</v>
      </c>
      <c r="F13" t="s">
        <v>76</v>
      </c>
      <c r="G13">
        <v>8</v>
      </c>
      <c r="H13">
        <v>8500</v>
      </c>
      <c r="I13">
        <f>Table1[[#This Row],[Unit price]]*Table1[[#This Row],[Qty Sold]]</f>
        <v>68000</v>
      </c>
      <c r="J13" t="s">
        <v>19</v>
      </c>
      <c r="K13" t="s">
        <v>48</v>
      </c>
      <c r="L13" t="s">
        <v>21</v>
      </c>
      <c r="M13">
        <v>5</v>
      </c>
    </row>
    <row r="14" spans="1:13" ht="14.25" customHeight="1" x14ac:dyDescent="0.35">
      <c r="A14" t="s">
        <v>77</v>
      </c>
      <c r="B14" t="s">
        <v>78</v>
      </c>
      <c r="C14" t="s">
        <v>15</v>
      </c>
      <c r="D14" t="s">
        <v>16</v>
      </c>
      <c r="E14" t="s">
        <v>26</v>
      </c>
      <c r="F14" t="s">
        <v>79</v>
      </c>
      <c r="G14">
        <v>15</v>
      </c>
      <c r="H14">
        <v>12000</v>
      </c>
      <c r="I14">
        <f>Table1[[#This Row],[Unit price]]*Table1[[#This Row],[Qty Sold]]</f>
        <v>180000</v>
      </c>
      <c r="J14" t="s">
        <v>28</v>
      </c>
      <c r="K14" t="s">
        <v>52</v>
      </c>
      <c r="L14" t="s">
        <v>21</v>
      </c>
      <c r="M14">
        <v>10</v>
      </c>
    </row>
    <row r="15" spans="1:13" ht="14.25" customHeight="1" x14ac:dyDescent="0.35">
      <c r="A15" t="s">
        <v>80</v>
      </c>
      <c r="B15" t="s">
        <v>81</v>
      </c>
      <c r="C15" t="s">
        <v>82</v>
      </c>
      <c r="D15" t="s">
        <v>25</v>
      </c>
      <c r="E15" t="s">
        <v>17</v>
      </c>
      <c r="F15" s="12" t="s">
        <v>329</v>
      </c>
      <c r="G15">
        <v>3</v>
      </c>
      <c r="H15">
        <v>85000</v>
      </c>
      <c r="I15">
        <f>Table1[[#This Row],[Unit price]]*Table1[[#This Row],[Qty Sold]]</f>
        <v>255000</v>
      </c>
      <c r="J15" t="s">
        <v>19</v>
      </c>
      <c r="K15" t="s">
        <v>29</v>
      </c>
      <c r="L15" t="s">
        <v>37</v>
      </c>
      <c r="M15">
        <v>0</v>
      </c>
    </row>
    <row r="16" spans="1:13" ht="14.25" customHeight="1" x14ac:dyDescent="0.35">
      <c r="A16" t="s">
        <v>83</v>
      </c>
      <c r="B16" t="s">
        <v>64</v>
      </c>
      <c r="C16" t="s">
        <v>65</v>
      </c>
      <c r="D16" t="s">
        <v>34</v>
      </c>
      <c r="E16" t="s">
        <v>41</v>
      </c>
      <c r="F16" t="s">
        <v>84</v>
      </c>
      <c r="G16">
        <v>7</v>
      </c>
      <c r="H16">
        <v>95000</v>
      </c>
      <c r="I16">
        <f>Table1[[#This Row],[Unit price]]*Table1[[#This Row],[Qty Sold]]</f>
        <v>665000</v>
      </c>
      <c r="J16" t="s">
        <v>28</v>
      </c>
      <c r="K16" t="s">
        <v>36</v>
      </c>
      <c r="L16" t="s">
        <v>30</v>
      </c>
      <c r="M16">
        <v>0</v>
      </c>
    </row>
    <row r="17" spans="1:13" ht="14.25" customHeight="1" x14ac:dyDescent="0.35">
      <c r="A17" t="s">
        <v>85</v>
      </c>
      <c r="B17" t="s">
        <v>39</v>
      </c>
      <c r="C17" t="s">
        <v>24</v>
      </c>
      <c r="D17" t="s">
        <v>40</v>
      </c>
      <c r="E17" t="s">
        <v>61</v>
      </c>
      <c r="F17" t="s">
        <v>86</v>
      </c>
      <c r="G17">
        <v>20</v>
      </c>
      <c r="H17">
        <v>8500</v>
      </c>
      <c r="I17">
        <f>Table1[[#This Row],[Unit price]]*Table1[[#This Row],[Qty Sold]]</f>
        <v>170000</v>
      </c>
      <c r="J17" t="s">
        <v>19</v>
      </c>
      <c r="K17" t="s">
        <v>20</v>
      </c>
      <c r="L17" t="s">
        <v>21</v>
      </c>
      <c r="M17">
        <v>15</v>
      </c>
    </row>
    <row r="18" spans="1:13" ht="14.25" customHeight="1" x14ac:dyDescent="0.35">
      <c r="A18" t="s">
        <v>87</v>
      </c>
      <c r="B18" t="s">
        <v>88</v>
      </c>
      <c r="C18" t="s">
        <v>15</v>
      </c>
      <c r="D18" t="s">
        <v>25</v>
      </c>
      <c r="E18" t="s">
        <v>17</v>
      </c>
      <c r="F18" t="s">
        <v>89</v>
      </c>
      <c r="G18">
        <v>0</v>
      </c>
      <c r="H18">
        <v>45000</v>
      </c>
      <c r="I18">
        <f>Table1[[#This Row],[Unit price]]*Table1[[#This Row],[Qty Sold]]</f>
        <v>0</v>
      </c>
      <c r="J18" t="s">
        <v>19</v>
      </c>
      <c r="K18" t="s">
        <v>90</v>
      </c>
      <c r="L18" t="s">
        <v>91</v>
      </c>
      <c r="M18">
        <v>5</v>
      </c>
    </row>
    <row r="19" spans="1:13" ht="14.25" customHeight="1" x14ac:dyDescent="0.35">
      <c r="A19" t="s">
        <v>92</v>
      </c>
      <c r="B19" t="s">
        <v>50</v>
      </c>
      <c r="C19" t="s">
        <v>15</v>
      </c>
      <c r="D19" t="s">
        <v>34</v>
      </c>
      <c r="E19" t="s">
        <v>26</v>
      </c>
      <c r="F19" t="s">
        <v>93</v>
      </c>
      <c r="G19">
        <v>9</v>
      </c>
      <c r="H19">
        <v>12000</v>
      </c>
      <c r="I19">
        <f>Table1[[#This Row],[Unit price]]*Table1[[#This Row],[Qty Sold]]</f>
        <v>108000</v>
      </c>
      <c r="J19" t="s">
        <v>28</v>
      </c>
      <c r="K19" t="s">
        <v>94</v>
      </c>
      <c r="L19" t="s">
        <v>21</v>
      </c>
      <c r="M19">
        <v>0</v>
      </c>
    </row>
    <row r="20" spans="1:13" ht="14.25" customHeight="1" x14ac:dyDescent="0.35">
      <c r="A20" t="s">
        <v>95</v>
      </c>
      <c r="B20" t="s">
        <v>96</v>
      </c>
      <c r="C20" t="s">
        <v>82</v>
      </c>
      <c r="D20" t="s">
        <v>16</v>
      </c>
      <c r="E20" t="s">
        <v>41</v>
      </c>
      <c r="F20" t="s">
        <v>97</v>
      </c>
      <c r="G20">
        <v>4</v>
      </c>
      <c r="H20">
        <v>95000</v>
      </c>
      <c r="I20">
        <f>Table1[[#This Row],[Unit price]]*Table1[[#This Row],[Qty Sold]]</f>
        <v>380000</v>
      </c>
      <c r="J20" t="s">
        <v>19</v>
      </c>
      <c r="K20" t="s">
        <v>29</v>
      </c>
      <c r="L20" t="s">
        <v>43</v>
      </c>
      <c r="M20">
        <v>10</v>
      </c>
    </row>
    <row r="21" spans="1:13" ht="14.25" customHeight="1" x14ac:dyDescent="0.35">
      <c r="A21" t="s">
        <v>98</v>
      </c>
      <c r="B21" t="s">
        <v>59</v>
      </c>
      <c r="C21" t="s">
        <v>15</v>
      </c>
      <c r="D21" t="s">
        <v>25</v>
      </c>
      <c r="E21" t="s">
        <v>61</v>
      </c>
      <c r="F21" t="s">
        <v>99</v>
      </c>
      <c r="G21">
        <v>18</v>
      </c>
      <c r="H21">
        <v>8500</v>
      </c>
      <c r="I21">
        <f>Table1[[#This Row],[Unit price]]*Table1[[#This Row],[Qty Sold]]</f>
        <v>153000</v>
      </c>
      <c r="J21" t="s">
        <v>28</v>
      </c>
      <c r="K21" t="s">
        <v>20</v>
      </c>
      <c r="L21" t="s">
        <v>21</v>
      </c>
      <c r="M21">
        <v>0</v>
      </c>
    </row>
    <row r="22" spans="1:13" ht="14.25" customHeight="1" x14ac:dyDescent="0.35">
      <c r="A22" t="s">
        <v>100</v>
      </c>
      <c r="B22" t="s">
        <v>101</v>
      </c>
      <c r="C22" t="s">
        <v>65</v>
      </c>
      <c r="D22" t="s">
        <v>34</v>
      </c>
      <c r="E22" t="s">
        <v>17</v>
      </c>
      <c r="F22" t="s">
        <v>102</v>
      </c>
      <c r="G22">
        <v>0</v>
      </c>
      <c r="H22">
        <v>85000</v>
      </c>
      <c r="I22">
        <f>Table1[[#This Row],[Unit price]]*Table1[[#This Row],[Qty Sold]]</f>
        <v>0</v>
      </c>
      <c r="J22" t="s">
        <v>19</v>
      </c>
      <c r="K22" t="s">
        <v>36</v>
      </c>
      <c r="L22" t="s">
        <v>37</v>
      </c>
      <c r="M22">
        <v>0</v>
      </c>
    </row>
    <row r="23" spans="1:13" ht="14.25" customHeight="1" x14ac:dyDescent="0.35">
      <c r="A23" t="s">
        <v>103</v>
      </c>
      <c r="B23" t="s">
        <v>39</v>
      </c>
      <c r="C23" t="s">
        <v>24</v>
      </c>
      <c r="D23" t="s">
        <v>40</v>
      </c>
      <c r="E23" t="s">
        <v>26</v>
      </c>
      <c r="F23" t="s">
        <v>104</v>
      </c>
      <c r="G23">
        <v>0</v>
      </c>
      <c r="H23">
        <v>12000</v>
      </c>
      <c r="I23">
        <f>Table1[[#This Row],[Unit price]]*Table1[[#This Row],[Qty Sold]]</f>
        <v>0</v>
      </c>
      <c r="J23" t="s">
        <v>19</v>
      </c>
      <c r="K23" t="s">
        <v>105</v>
      </c>
      <c r="L23" t="s">
        <v>21</v>
      </c>
      <c r="M23">
        <v>5</v>
      </c>
    </row>
    <row r="24" spans="1:13" ht="14.25" customHeight="1" x14ac:dyDescent="0.35">
      <c r="A24" t="s">
        <v>106</v>
      </c>
      <c r="B24" t="s">
        <v>71</v>
      </c>
      <c r="C24" t="s">
        <v>15</v>
      </c>
      <c r="D24" t="s">
        <v>25</v>
      </c>
      <c r="E24" t="s">
        <v>41</v>
      </c>
      <c r="F24" t="s">
        <v>107</v>
      </c>
      <c r="G24">
        <v>3</v>
      </c>
      <c r="H24">
        <v>95000</v>
      </c>
      <c r="I24">
        <f>Table1[[#This Row],[Unit price]]*Table1[[#This Row],[Qty Sold]]</f>
        <v>285000</v>
      </c>
      <c r="J24" t="s">
        <v>28</v>
      </c>
      <c r="K24" t="s">
        <v>20</v>
      </c>
      <c r="L24" t="s">
        <v>30</v>
      </c>
      <c r="M24">
        <v>0</v>
      </c>
    </row>
    <row r="25" spans="1:13" ht="14.25" customHeight="1" x14ac:dyDescent="0.35">
      <c r="A25" t="s">
        <v>108</v>
      </c>
      <c r="B25" t="s">
        <v>109</v>
      </c>
      <c r="C25" t="s">
        <v>56</v>
      </c>
      <c r="D25" t="s">
        <v>34</v>
      </c>
      <c r="E25" t="s">
        <v>61</v>
      </c>
      <c r="F25" t="s">
        <v>110</v>
      </c>
      <c r="G25">
        <v>25</v>
      </c>
      <c r="H25">
        <v>8500</v>
      </c>
      <c r="I25">
        <f>Table1[[#This Row],[Unit price]]*Table1[[#This Row],[Qty Sold]]</f>
        <v>212500</v>
      </c>
      <c r="J25" t="s">
        <v>19</v>
      </c>
      <c r="K25" t="s">
        <v>48</v>
      </c>
      <c r="L25" t="s">
        <v>21</v>
      </c>
      <c r="M25">
        <v>20</v>
      </c>
    </row>
    <row r="26" spans="1:13" ht="14.25" customHeight="1" x14ac:dyDescent="0.35">
      <c r="A26" t="s">
        <v>111</v>
      </c>
      <c r="B26" t="s">
        <v>112</v>
      </c>
      <c r="C26" t="s">
        <v>46</v>
      </c>
      <c r="D26" t="s">
        <v>16</v>
      </c>
      <c r="E26" t="s">
        <v>17</v>
      </c>
      <c r="F26" t="s">
        <v>113</v>
      </c>
      <c r="G26">
        <v>-2</v>
      </c>
      <c r="H26">
        <v>85000</v>
      </c>
      <c r="I26">
        <f>Table1[[#This Row],[Unit price]]*Table1[[#This Row],[Qty Sold]]</f>
        <v>-170000</v>
      </c>
      <c r="J26" t="s">
        <v>19</v>
      </c>
      <c r="K26" t="s">
        <v>36</v>
      </c>
      <c r="L26" t="s">
        <v>21</v>
      </c>
      <c r="M26">
        <v>0</v>
      </c>
    </row>
    <row r="27" spans="1:13" ht="14.25" customHeight="1" x14ac:dyDescent="0.35">
      <c r="A27" t="s">
        <v>114</v>
      </c>
      <c r="B27" t="s">
        <v>59</v>
      </c>
      <c r="C27" t="s">
        <v>15</v>
      </c>
      <c r="D27" t="s">
        <v>25</v>
      </c>
      <c r="E27" t="s">
        <v>26</v>
      </c>
      <c r="F27" t="s">
        <v>115</v>
      </c>
      <c r="G27">
        <v>8</v>
      </c>
      <c r="H27">
        <v>12000</v>
      </c>
      <c r="I27">
        <f>Table1[[#This Row],[Unit price]]*Table1[[#This Row],[Qty Sold]]</f>
        <v>96000</v>
      </c>
      <c r="J27" t="s">
        <v>28</v>
      </c>
      <c r="K27" t="s">
        <v>20</v>
      </c>
      <c r="L27" t="s">
        <v>73</v>
      </c>
      <c r="M27">
        <v>10</v>
      </c>
    </row>
    <row r="28" spans="1:13" ht="14.25" customHeight="1" x14ac:dyDescent="0.35">
      <c r="A28" t="s">
        <v>116</v>
      </c>
      <c r="B28" t="s">
        <v>64</v>
      </c>
      <c r="C28" t="s">
        <v>75</v>
      </c>
      <c r="D28" t="s">
        <v>34</v>
      </c>
      <c r="E28" t="s">
        <v>41</v>
      </c>
      <c r="F28" t="s">
        <v>117</v>
      </c>
      <c r="G28">
        <v>0</v>
      </c>
      <c r="H28">
        <v>95000</v>
      </c>
      <c r="I28">
        <f>Table1[[#This Row],[Unit price]]*Table1[[#This Row],[Qty Sold]]</f>
        <v>0</v>
      </c>
      <c r="J28" t="s">
        <v>19</v>
      </c>
      <c r="K28" t="s">
        <v>29</v>
      </c>
      <c r="L28" t="s">
        <v>21</v>
      </c>
      <c r="M28">
        <v>0</v>
      </c>
    </row>
    <row r="29" spans="1:13" ht="14.25" customHeight="1" x14ac:dyDescent="0.35">
      <c r="A29" t="s">
        <v>118</v>
      </c>
      <c r="B29" t="s">
        <v>119</v>
      </c>
      <c r="C29" t="s">
        <v>15</v>
      </c>
      <c r="D29" t="s">
        <v>40</v>
      </c>
      <c r="E29" t="s">
        <v>61</v>
      </c>
      <c r="F29" t="s">
        <v>120</v>
      </c>
      <c r="G29">
        <v>14</v>
      </c>
      <c r="H29">
        <v>8500</v>
      </c>
      <c r="I29">
        <f>Table1[[#This Row],[Unit price]]*Table1[[#This Row],[Qty Sold]]</f>
        <v>119000</v>
      </c>
      <c r="J29" t="s">
        <v>19</v>
      </c>
      <c r="K29" t="s">
        <v>52</v>
      </c>
      <c r="L29" t="s">
        <v>37</v>
      </c>
      <c r="M29">
        <v>5</v>
      </c>
    </row>
    <row r="30" spans="1:13" ht="14.25" customHeight="1" x14ac:dyDescent="0.35">
      <c r="A30" t="s">
        <v>121</v>
      </c>
      <c r="B30" t="s">
        <v>71</v>
      </c>
      <c r="C30" t="s">
        <v>82</v>
      </c>
      <c r="D30" t="s">
        <v>25</v>
      </c>
      <c r="E30" t="s">
        <v>17</v>
      </c>
      <c r="F30" t="s">
        <v>122</v>
      </c>
      <c r="G30">
        <v>6</v>
      </c>
      <c r="H30">
        <v>45000</v>
      </c>
      <c r="I30">
        <f>Table1[[#This Row],[Unit price]]*Table1[[#This Row],[Qty Sold]]</f>
        <v>270000</v>
      </c>
      <c r="J30" t="s">
        <v>28</v>
      </c>
      <c r="K30" t="s">
        <v>36</v>
      </c>
      <c r="L30" t="s">
        <v>21</v>
      </c>
      <c r="M30">
        <v>0</v>
      </c>
    </row>
    <row r="31" spans="1:13" ht="14.25" customHeight="1" x14ac:dyDescent="0.35">
      <c r="A31" t="s">
        <v>123</v>
      </c>
      <c r="B31" t="s">
        <v>50</v>
      </c>
      <c r="C31" t="s">
        <v>15</v>
      </c>
      <c r="D31" t="s">
        <v>34</v>
      </c>
      <c r="E31" t="s">
        <v>26</v>
      </c>
      <c r="F31" t="s">
        <v>124</v>
      </c>
      <c r="G31">
        <v>0</v>
      </c>
      <c r="H31">
        <v>12000</v>
      </c>
      <c r="I31">
        <f>Table1[[#This Row],[Unit price]]*Table1[[#This Row],[Qty Sold]]</f>
        <v>0</v>
      </c>
      <c r="J31" t="s">
        <v>19</v>
      </c>
      <c r="K31" t="s">
        <v>94</v>
      </c>
      <c r="L31" t="s">
        <v>30</v>
      </c>
      <c r="M31">
        <v>15</v>
      </c>
    </row>
    <row r="32" spans="1:13" ht="14.25" customHeight="1" x14ac:dyDescent="0.35">
      <c r="A32" t="s">
        <v>125</v>
      </c>
      <c r="B32" t="s">
        <v>55</v>
      </c>
      <c r="C32" t="s">
        <v>24</v>
      </c>
      <c r="D32" t="s">
        <v>16</v>
      </c>
      <c r="E32" t="s">
        <v>41</v>
      </c>
      <c r="F32" t="s">
        <v>126</v>
      </c>
      <c r="G32">
        <v>5</v>
      </c>
      <c r="H32">
        <v>95000</v>
      </c>
      <c r="I32">
        <f>Table1[[#This Row],[Unit price]]*Table1[[#This Row],[Qty Sold]]</f>
        <v>475000</v>
      </c>
      <c r="J32" t="s">
        <v>19</v>
      </c>
      <c r="K32" t="s">
        <v>29</v>
      </c>
      <c r="L32" t="s">
        <v>21</v>
      </c>
      <c r="M32">
        <v>0</v>
      </c>
    </row>
    <row r="33" spans="1:13" ht="14.25" customHeight="1" x14ac:dyDescent="0.35">
      <c r="A33" t="s">
        <v>127</v>
      </c>
      <c r="B33" t="s">
        <v>128</v>
      </c>
      <c r="C33" t="s">
        <v>65</v>
      </c>
      <c r="D33" t="s">
        <v>25</v>
      </c>
      <c r="E33" t="s">
        <v>61</v>
      </c>
      <c r="F33" t="s">
        <v>129</v>
      </c>
      <c r="G33">
        <v>30</v>
      </c>
      <c r="H33">
        <v>8500</v>
      </c>
      <c r="I33">
        <f>Table1[[#This Row],[Unit price]]*Table1[[#This Row],[Qty Sold]]</f>
        <v>255000</v>
      </c>
      <c r="J33" t="s">
        <v>28</v>
      </c>
      <c r="K33" t="s">
        <v>20</v>
      </c>
      <c r="L33" t="s">
        <v>21</v>
      </c>
      <c r="M33">
        <v>10</v>
      </c>
    </row>
    <row r="34" spans="1:13" ht="14.25" customHeight="1" x14ac:dyDescent="0.35">
      <c r="A34" t="s">
        <v>130</v>
      </c>
      <c r="B34" t="s">
        <v>64</v>
      </c>
      <c r="C34" t="s">
        <v>56</v>
      </c>
      <c r="D34" t="s">
        <v>34</v>
      </c>
      <c r="E34" t="s">
        <v>17</v>
      </c>
      <c r="F34" t="s">
        <v>131</v>
      </c>
      <c r="G34">
        <v>0</v>
      </c>
      <c r="H34">
        <v>85000</v>
      </c>
      <c r="I34">
        <f>Table1[[#This Row],[Unit price]]*Table1[[#This Row],[Qty Sold]]</f>
        <v>0</v>
      </c>
      <c r="J34" t="s">
        <v>19</v>
      </c>
      <c r="K34" t="s">
        <v>90</v>
      </c>
      <c r="L34" t="s">
        <v>132</v>
      </c>
      <c r="M34">
        <v>0</v>
      </c>
    </row>
    <row r="35" spans="1:13" ht="14.25" customHeight="1" x14ac:dyDescent="0.35">
      <c r="A35" t="s">
        <v>133</v>
      </c>
      <c r="B35" t="s">
        <v>39</v>
      </c>
      <c r="C35" t="s">
        <v>46</v>
      </c>
      <c r="D35" t="s">
        <v>40</v>
      </c>
      <c r="E35" t="s">
        <v>26</v>
      </c>
      <c r="F35" t="s">
        <v>134</v>
      </c>
      <c r="G35">
        <v>7</v>
      </c>
      <c r="H35">
        <v>12000</v>
      </c>
      <c r="I35">
        <f>Table1[[#This Row],[Unit price]]*Table1[[#This Row],[Qty Sold]]</f>
        <v>84000</v>
      </c>
      <c r="J35" t="s">
        <v>28</v>
      </c>
      <c r="K35" t="s">
        <v>29</v>
      </c>
      <c r="L35" t="s">
        <v>21</v>
      </c>
      <c r="M35">
        <v>5</v>
      </c>
    </row>
    <row r="36" spans="1:13" ht="14.25" customHeight="1" x14ac:dyDescent="0.35">
      <c r="A36" t="s">
        <v>135</v>
      </c>
      <c r="B36" t="s">
        <v>45</v>
      </c>
      <c r="C36" t="s">
        <v>15</v>
      </c>
      <c r="D36" t="s">
        <v>25</v>
      </c>
      <c r="E36" t="s">
        <v>41</v>
      </c>
      <c r="F36" t="s">
        <v>136</v>
      </c>
      <c r="G36">
        <v>3</v>
      </c>
      <c r="H36">
        <v>95000</v>
      </c>
      <c r="I36">
        <f>Table1[[#This Row],[Unit price]]*Table1[[#This Row],[Qty Sold]]</f>
        <v>285000</v>
      </c>
      <c r="J36" t="s">
        <v>19</v>
      </c>
      <c r="K36" t="s">
        <v>94</v>
      </c>
      <c r="L36" t="s">
        <v>91</v>
      </c>
      <c r="M36">
        <v>0</v>
      </c>
    </row>
    <row r="37" spans="1:13" ht="14.25" customHeight="1" x14ac:dyDescent="0.35">
      <c r="A37" t="s">
        <v>137</v>
      </c>
      <c r="B37" t="s">
        <v>50</v>
      </c>
      <c r="C37" t="s">
        <v>24</v>
      </c>
      <c r="D37" t="s">
        <v>34</v>
      </c>
      <c r="E37" t="s">
        <v>61</v>
      </c>
      <c r="F37" t="s">
        <v>138</v>
      </c>
      <c r="G37">
        <v>22</v>
      </c>
      <c r="H37">
        <v>8500</v>
      </c>
      <c r="I37">
        <f>Table1[[#This Row],[Unit price]]*Table1[[#This Row],[Qty Sold]]</f>
        <v>187000</v>
      </c>
      <c r="J37" t="s">
        <v>19</v>
      </c>
      <c r="K37" t="s">
        <v>36</v>
      </c>
      <c r="L37" t="s">
        <v>21</v>
      </c>
      <c r="M37">
        <v>20</v>
      </c>
    </row>
    <row r="38" spans="1:13" ht="14.25" customHeight="1" x14ac:dyDescent="0.35">
      <c r="A38" t="s">
        <v>139</v>
      </c>
      <c r="B38" t="s">
        <v>96</v>
      </c>
      <c r="C38" t="s">
        <v>82</v>
      </c>
      <c r="D38" t="s">
        <v>16</v>
      </c>
      <c r="E38" t="s">
        <v>17</v>
      </c>
      <c r="F38" t="s">
        <v>140</v>
      </c>
      <c r="G38">
        <v>-1</v>
      </c>
      <c r="H38">
        <v>45000</v>
      </c>
      <c r="I38">
        <f>Table1[[#This Row],[Unit price]]*Table1[[#This Row],[Qty Sold]]</f>
        <v>-45000</v>
      </c>
      <c r="J38" t="s">
        <v>28</v>
      </c>
      <c r="K38" t="s">
        <v>52</v>
      </c>
      <c r="L38" t="s">
        <v>21</v>
      </c>
      <c r="M38">
        <v>0</v>
      </c>
    </row>
    <row r="39" spans="1:13" ht="14.25" customHeight="1" x14ac:dyDescent="0.35">
      <c r="A39" t="s">
        <v>141</v>
      </c>
      <c r="B39" t="s">
        <v>142</v>
      </c>
      <c r="C39" t="s">
        <v>15</v>
      </c>
      <c r="D39" t="s">
        <v>25</v>
      </c>
      <c r="E39" t="s">
        <v>26</v>
      </c>
      <c r="F39" t="s">
        <v>143</v>
      </c>
      <c r="G39">
        <v>9</v>
      </c>
      <c r="H39">
        <v>12000</v>
      </c>
      <c r="I39">
        <f>Table1[[#This Row],[Unit price]]*Table1[[#This Row],[Qty Sold]]</f>
        <v>108000</v>
      </c>
      <c r="J39" t="s">
        <v>19</v>
      </c>
      <c r="K39" t="s">
        <v>29</v>
      </c>
      <c r="L39" t="s">
        <v>30</v>
      </c>
      <c r="M39">
        <v>0</v>
      </c>
    </row>
    <row r="40" spans="1:13" ht="14.25" customHeight="1" x14ac:dyDescent="0.35">
      <c r="A40" t="s">
        <v>144</v>
      </c>
      <c r="B40" t="s">
        <v>145</v>
      </c>
      <c r="C40" t="s">
        <v>65</v>
      </c>
      <c r="D40" t="s">
        <v>34</v>
      </c>
      <c r="E40" t="s">
        <v>41</v>
      </c>
      <c r="F40" t="s">
        <v>146</v>
      </c>
      <c r="G40">
        <v>0</v>
      </c>
      <c r="H40">
        <v>95000</v>
      </c>
      <c r="I40">
        <f>Table1[[#This Row],[Unit price]]*Table1[[#This Row],[Qty Sold]]</f>
        <v>0</v>
      </c>
      <c r="J40" t="s">
        <v>19</v>
      </c>
      <c r="K40" t="s">
        <v>48</v>
      </c>
      <c r="L40" t="s">
        <v>21</v>
      </c>
      <c r="M40">
        <v>10</v>
      </c>
    </row>
    <row r="41" spans="1:13" ht="14.25" customHeight="1" x14ac:dyDescent="0.35">
      <c r="A41" t="s">
        <v>147</v>
      </c>
      <c r="B41" t="s">
        <v>39</v>
      </c>
      <c r="C41" t="s">
        <v>75</v>
      </c>
      <c r="D41" t="s">
        <v>40</v>
      </c>
      <c r="E41" t="s">
        <v>61</v>
      </c>
      <c r="F41" t="s">
        <v>148</v>
      </c>
      <c r="G41">
        <v>16</v>
      </c>
      <c r="H41">
        <v>8500</v>
      </c>
      <c r="I41">
        <f>Table1[[#This Row],[Unit price]]*Table1[[#This Row],[Qty Sold]]</f>
        <v>136000</v>
      </c>
      <c r="J41" t="s">
        <v>28</v>
      </c>
      <c r="K41" t="s">
        <v>20</v>
      </c>
      <c r="L41" t="s">
        <v>43</v>
      </c>
      <c r="M41">
        <v>5</v>
      </c>
    </row>
    <row r="42" spans="1:13" ht="14.25" customHeight="1" x14ac:dyDescent="0.35">
      <c r="A42" t="s">
        <v>149</v>
      </c>
      <c r="B42" t="s">
        <v>71</v>
      </c>
      <c r="C42" t="s">
        <v>15</v>
      </c>
      <c r="D42" t="s">
        <v>25</v>
      </c>
      <c r="E42" t="s">
        <v>17</v>
      </c>
      <c r="F42" t="s">
        <v>150</v>
      </c>
      <c r="G42">
        <v>4</v>
      </c>
      <c r="H42">
        <v>85000</v>
      </c>
      <c r="I42">
        <f>Table1[[#This Row],[Unit price]]*Table1[[#This Row],[Qty Sold]]</f>
        <v>340000</v>
      </c>
      <c r="J42" t="s">
        <v>19</v>
      </c>
      <c r="K42" t="s">
        <v>36</v>
      </c>
      <c r="L42" t="s">
        <v>37</v>
      </c>
      <c r="M42" t="s">
        <v>151</v>
      </c>
    </row>
    <row r="43" spans="1:13" ht="14.25" customHeight="1" x14ac:dyDescent="0.35">
      <c r="A43" t="s">
        <v>152</v>
      </c>
      <c r="B43" t="s">
        <v>153</v>
      </c>
      <c r="C43" t="s">
        <v>56</v>
      </c>
      <c r="D43" t="s">
        <v>34</v>
      </c>
      <c r="E43" t="s">
        <v>26</v>
      </c>
      <c r="F43" t="s">
        <v>154</v>
      </c>
      <c r="G43">
        <v>13</v>
      </c>
      <c r="H43">
        <v>12000</v>
      </c>
      <c r="I43">
        <f>Table1[[#This Row],[Unit price]]*Table1[[#This Row],[Qty Sold]]</f>
        <v>156000</v>
      </c>
      <c r="J43" t="s">
        <v>19</v>
      </c>
      <c r="K43" t="s">
        <v>105</v>
      </c>
      <c r="L43" t="s">
        <v>21</v>
      </c>
      <c r="M43">
        <v>0</v>
      </c>
    </row>
    <row r="44" spans="1:13" ht="14.25" customHeight="1" x14ac:dyDescent="0.35">
      <c r="A44" t="s">
        <v>155</v>
      </c>
      <c r="B44" t="s">
        <v>156</v>
      </c>
      <c r="C44" t="s">
        <v>46</v>
      </c>
      <c r="D44" t="s">
        <v>16</v>
      </c>
      <c r="E44" t="s">
        <v>41</v>
      </c>
      <c r="F44" t="s">
        <v>157</v>
      </c>
      <c r="G44">
        <v>0</v>
      </c>
      <c r="H44">
        <v>95000</v>
      </c>
      <c r="I44">
        <f>Table1[[#This Row],[Unit price]]*Table1[[#This Row],[Qty Sold]]</f>
        <v>0</v>
      </c>
      <c r="J44" t="s">
        <v>28</v>
      </c>
      <c r="K44" t="s">
        <v>20</v>
      </c>
      <c r="L44" t="s">
        <v>30</v>
      </c>
      <c r="M44">
        <v>15</v>
      </c>
    </row>
    <row r="45" spans="1:13" ht="14.25" customHeight="1" x14ac:dyDescent="0.35">
      <c r="A45" t="s">
        <v>158</v>
      </c>
      <c r="B45" t="s">
        <v>59</v>
      </c>
      <c r="C45" t="s">
        <v>24</v>
      </c>
      <c r="D45" t="s">
        <v>25</v>
      </c>
      <c r="E45" t="s">
        <v>61</v>
      </c>
      <c r="F45" t="s">
        <v>159</v>
      </c>
      <c r="G45">
        <v>28</v>
      </c>
      <c r="H45">
        <v>8500</v>
      </c>
      <c r="I45">
        <f>Table1[[#This Row],[Unit price]]*Table1[[#This Row],[Qty Sold]]</f>
        <v>238000</v>
      </c>
      <c r="J45" t="s">
        <v>19</v>
      </c>
      <c r="K45" t="s">
        <v>94</v>
      </c>
      <c r="L45" t="s">
        <v>21</v>
      </c>
      <c r="M45">
        <v>0</v>
      </c>
    </row>
    <row r="46" spans="1:13" ht="14.25" customHeight="1" x14ac:dyDescent="0.35">
      <c r="A46" t="s">
        <v>160</v>
      </c>
      <c r="B46" t="s">
        <v>64</v>
      </c>
      <c r="C46" t="s">
        <v>15</v>
      </c>
      <c r="D46" t="s">
        <v>34</v>
      </c>
      <c r="E46" t="s">
        <v>17</v>
      </c>
      <c r="F46" t="s">
        <v>161</v>
      </c>
      <c r="G46">
        <v>0</v>
      </c>
      <c r="H46">
        <v>45000</v>
      </c>
      <c r="I46">
        <f>Table1[[#This Row],[Unit price]]*Table1[[#This Row],[Qty Sold]]</f>
        <v>0</v>
      </c>
      <c r="J46" t="s">
        <v>19</v>
      </c>
      <c r="K46" t="s">
        <v>36</v>
      </c>
      <c r="L46" t="s">
        <v>91</v>
      </c>
      <c r="M46" t="s">
        <v>151</v>
      </c>
    </row>
    <row r="47" spans="1:13" ht="14.25" customHeight="1" x14ac:dyDescent="0.35">
      <c r="A47" t="s">
        <v>162</v>
      </c>
      <c r="B47" t="s">
        <v>163</v>
      </c>
      <c r="C47" t="s">
        <v>82</v>
      </c>
      <c r="D47" t="s">
        <v>40</v>
      </c>
      <c r="E47" t="s">
        <v>26</v>
      </c>
      <c r="F47" t="s">
        <v>164</v>
      </c>
      <c r="G47">
        <v>6</v>
      </c>
      <c r="H47">
        <v>12000</v>
      </c>
      <c r="I47">
        <f>Table1[[#This Row],[Unit price]]*Table1[[#This Row],[Qty Sold]]</f>
        <v>72000</v>
      </c>
      <c r="J47" t="s">
        <v>28</v>
      </c>
      <c r="K47" t="s">
        <v>52</v>
      </c>
      <c r="L47" t="s">
        <v>21</v>
      </c>
      <c r="M47">
        <v>5</v>
      </c>
    </row>
    <row r="48" spans="1:13" ht="14.25" customHeight="1" x14ac:dyDescent="0.35">
      <c r="A48" t="s">
        <v>165</v>
      </c>
      <c r="B48" t="s">
        <v>71</v>
      </c>
      <c r="C48" t="s">
        <v>65</v>
      </c>
      <c r="D48" t="s">
        <v>25</v>
      </c>
      <c r="E48" t="s">
        <v>41</v>
      </c>
      <c r="F48" t="s">
        <v>166</v>
      </c>
      <c r="G48">
        <v>2</v>
      </c>
      <c r="H48">
        <v>95000</v>
      </c>
      <c r="I48">
        <f>Table1[[#This Row],[Unit price]]*Table1[[#This Row],[Qty Sold]]</f>
        <v>190000</v>
      </c>
      <c r="J48" t="s">
        <v>19</v>
      </c>
      <c r="K48" t="s">
        <v>29</v>
      </c>
      <c r="L48" t="s">
        <v>43</v>
      </c>
      <c r="M48">
        <v>0</v>
      </c>
    </row>
    <row r="49" spans="1:13" ht="14.25" customHeight="1" x14ac:dyDescent="0.35">
      <c r="A49" t="s">
        <v>167</v>
      </c>
      <c r="B49" t="s">
        <v>50</v>
      </c>
      <c r="C49" t="s">
        <v>15</v>
      </c>
      <c r="D49" t="s">
        <v>34</v>
      </c>
      <c r="E49" t="s">
        <v>61</v>
      </c>
      <c r="F49" t="s">
        <v>168</v>
      </c>
      <c r="G49">
        <v>35</v>
      </c>
      <c r="H49">
        <v>8500</v>
      </c>
      <c r="I49">
        <f>Table1[[#This Row],[Unit price]]*Table1[[#This Row],[Qty Sold]]</f>
        <v>297500</v>
      </c>
      <c r="J49" t="s">
        <v>19</v>
      </c>
      <c r="K49" t="s">
        <v>36</v>
      </c>
      <c r="L49" t="s">
        <v>21</v>
      </c>
      <c r="M49">
        <v>25</v>
      </c>
    </row>
    <row r="50" spans="1:13" ht="14.25" customHeight="1" x14ac:dyDescent="0.35">
      <c r="A50" t="s">
        <v>169</v>
      </c>
      <c r="B50" t="s">
        <v>170</v>
      </c>
      <c r="C50" t="s">
        <v>24</v>
      </c>
      <c r="D50" t="s">
        <v>16</v>
      </c>
      <c r="E50" t="s">
        <v>17</v>
      </c>
      <c r="F50" t="s">
        <v>171</v>
      </c>
      <c r="G50">
        <v>-3</v>
      </c>
      <c r="H50">
        <v>85000</v>
      </c>
      <c r="I50">
        <f>Table1[[#This Row],[Unit price]]*Table1[[#This Row],[Qty Sold]]</f>
        <v>-255000</v>
      </c>
      <c r="J50" t="s">
        <v>28</v>
      </c>
      <c r="K50" t="s">
        <v>94</v>
      </c>
      <c r="L50" t="s">
        <v>21</v>
      </c>
      <c r="M50">
        <v>0</v>
      </c>
    </row>
    <row r="51" spans="1:13" ht="14.25" customHeight="1" x14ac:dyDescent="0.35">
      <c r="A51" t="s">
        <v>172</v>
      </c>
      <c r="B51" t="s">
        <v>59</v>
      </c>
      <c r="C51" t="s">
        <v>56</v>
      </c>
      <c r="D51" t="s">
        <v>25</v>
      </c>
      <c r="E51" t="s">
        <v>26</v>
      </c>
      <c r="F51" t="s">
        <v>173</v>
      </c>
      <c r="G51">
        <v>11</v>
      </c>
      <c r="H51">
        <v>12000</v>
      </c>
      <c r="I51">
        <f>Table1[[#This Row],[Unit price]]*Table1[[#This Row],[Qty Sold]]</f>
        <v>132000</v>
      </c>
      <c r="J51" t="s">
        <v>19</v>
      </c>
      <c r="K51" t="s">
        <v>90</v>
      </c>
      <c r="L51" t="s">
        <v>37</v>
      </c>
      <c r="M51">
        <v>10</v>
      </c>
    </row>
    <row r="52" spans="1:13" ht="14.25" customHeight="1" x14ac:dyDescent="0.35">
      <c r="A52" t="s">
        <v>174</v>
      </c>
      <c r="B52" t="s">
        <v>32</v>
      </c>
      <c r="C52" t="s">
        <v>65</v>
      </c>
      <c r="D52" t="s">
        <v>34</v>
      </c>
      <c r="E52" t="s">
        <v>41</v>
      </c>
      <c r="F52" t="s">
        <v>175</v>
      </c>
      <c r="G52">
        <v>0</v>
      </c>
      <c r="H52">
        <v>95000</v>
      </c>
      <c r="I52">
        <f>Table1[[#This Row],[Unit price]]*Table1[[#This Row],[Qty Sold]]</f>
        <v>0</v>
      </c>
      <c r="J52" t="s">
        <v>19</v>
      </c>
      <c r="K52" t="s">
        <v>29</v>
      </c>
      <c r="L52" t="s">
        <v>30</v>
      </c>
      <c r="M52">
        <v>0</v>
      </c>
    </row>
    <row r="53" spans="1:13" ht="14.25" customHeight="1" x14ac:dyDescent="0.35">
      <c r="A53" t="s">
        <v>176</v>
      </c>
      <c r="B53" t="s">
        <v>39</v>
      </c>
      <c r="C53" t="s">
        <v>46</v>
      </c>
      <c r="D53" t="s">
        <v>40</v>
      </c>
      <c r="E53" t="s">
        <v>61</v>
      </c>
      <c r="F53" t="s">
        <v>177</v>
      </c>
      <c r="G53">
        <v>19</v>
      </c>
      <c r="H53">
        <v>8500</v>
      </c>
      <c r="I53">
        <f>Table1[[#This Row],[Unit price]]*Table1[[#This Row],[Qty Sold]]</f>
        <v>161500</v>
      </c>
      <c r="J53" t="s">
        <v>28</v>
      </c>
      <c r="K53" t="s">
        <v>20</v>
      </c>
      <c r="L53" t="s">
        <v>21</v>
      </c>
      <c r="M53">
        <v>5</v>
      </c>
    </row>
    <row r="54" spans="1:13" ht="14.25" customHeight="1" x14ac:dyDescent="0.35">
      <c r="A54" t="s">
        <v>178</v>
      </c>
      <c r="B54" t="s">
        <v>179</v>
      </c>
      <c r="C54" t="s">
        <v>24</v>
      </c>
      <c r="D54" t="s">
        <v>25</v>
      </c>
      <c r="E54" t="s">
        <v>17</v>
      </c>
      <c r="F54" t="s">
        <v>180</v>
      </c>
      <c r="G54">
        <v>7</v>
      </c>
      <c r="H54">
        <v>45000</v>
      </c>
      <c r="I54">
        <f>Table1[[#This Row],[Unit price]]*Table1[[#This Row],[Qty Sold]]</f>
        <v>315000</v>
      </c>
      <c r="J54" t="s">
        <v>19</v>
      </c>
      <c r="K54" t="s">
        <v>48</v>
      </c>
      <c r="L54" t="s">
        <v>73</v>
      </c>
      <c r="M54">
        <v>0</v>
      </c>
    </row>
    <row r="55" spans="1:13" ht="14.25" customHeight="1" x14ac:dyDescent="0.35">
      <c r="A55" t="s">
        <v>181</v>
      </c>
      <c r="B55" t="s">
        <v>50</v>
      </c>
      <c r="C55" t="s">
        <v>15</v>
      </c>
      <c r="D55" t="s">
        <v>34</v>
      </c>
      <c r="E55" t="s">
        <v>26</v>
      </c>
      <c r="F55" t="s">
        <v>182</v>
      </c>
      <c r="G55">
        <v>14</v>
      </c>
      <c r="H55">
        <v>12000</v>
      </c>
      <c r="I55">
        <f>Table1[[#This Row],[Unit price]]*Table1[[#This Row],[Qty Sold]]</f>
        <v>168000</v>
      </c>
      <c r="J55" t="s">
        <v>19</v>
      </c>
      <c r="K55" t="s">
        <v>20</v>
      </c>
      <c r="L55" t="s">
        <v>21</v>
      </c>
      <c r="M55">
        <v>15</v>
      </c>
    </row>
    <row r="56" spans="1:13" ht="14.25" customHeight="1" x14ac:dyDescent="0.35">
      <c r="A56" t="s">
        <v>183</v>
      </c>
      <c r="B56" t="s">
        <v>112</v>
      </c>
      <c r="C56" t="s">
        <v>82</v>
      </c>
      <c r="D56" t="s">
        <v>16</v>
      </c>
      <c r="E56" t="s">
        <v>41</v>
      </c>
      <c r="F56" t="s">
        <v>184</v>
      </c>
      <c r="G56">
        <v>0</v>
      </c>
      <c r="H56">
        <v>95000</v>
      </c>
      <c r="I56">
        <f>Table1[[#This Row],[Unit price]]*Table1[[#This Row],[Qty Sold]]</f>
        <v>0</v>
      </c>
      <c r="J56" t="s">
        <v>28</v>
      </c>
      <c r="K56" t="s">
        <v>29</v>
      </c>
      <c r="L56" t="s">
        <v>21</v>
      </c>
      <c r="M56">
        <v>0</v>
      </c>
    </row>
    <row r="57" spans="1:13" ht="14.25" customHeight="1" x14ac:dyDescent="0.35">
      <c r="A57" t="s">
        <v>185</v>
      </c>
      <c r="B57" t="s">
        <v>59</v>
      </c>
      <c r="C57" t="s">
        <v>15</v>
      </c>
      <c r="D57" t="s">
        <v>25</v>
      </c>
      <c r="E57" t="s">
        <v>61</v>
      </c>
      <c r="F57" t="s">
        <v>186</v>
      </c>
      <c r="G57">
        <v>24</v>
      </c>
      <c r="H57">
        <v>8500</v>
      </c>
      <c r="I57">
        <f>Table1[[#This Row],[Unit price]]*Table1[[#This Row],[Qty Sold]]</f>
        <v>204000</v>
      </c>
      <c r="J57" t="s">
        <v>19</v>
      </c>
      <c r="K57" t="s">
        <v>52</v>
      </c>
      <c r="L57" t="s">
        <v>21</v>
      </c>
      <c r="M57">
        <v>20</v>
      </c>
    </row>
    <row r="58" spans="1:13" ht="14.25" customHeight="1" x14ac:dyDescent="0.35">
      <c r="A58" t="s">
        <v>187</v>
      </c>
      <c r="B58" t="s">
        <v>188</v>
      </c>
      <c r="C58" t="s">
        <v>75</v>
      </c>
      <c r="D58" t="s">
        <v>34</v>
      </c>
      <c r="E58" t="s">
        <v>17</v>
      </c>
      <c r="F58" t="s">
        <v>189</v>
      </c>
      <c r="G58">
        <v>0</v>
      </c>
      <c r="H58">
        <v>85000</v>
      </c>
      <c r="I58">
        <f>Table1[[#This Row],[Unit price]]*Table1[[#This Row],[Qty Sold]]</f>
        <v>0</v>
      </c>
      <c r="J58" t="s">
        <v>19</v>
      </c>
      <c r="K58" t="s">
        <v>36</v>
      </c>
      <c r="L58" t="s">
        <v>37</v>
      </c>
      <c r="M58" t="s">
        <v>151</v>
      </c>
    </row>
    <row r="59" spans="1:13" ht="14.25" customHeight="1" x14ac:dyDescent="0.35">
      <c r="A59" t="s">
        <v>190</v>
      </c>
      <c r="B59" t="s">
        <v>119</v>
      </c>
      <c r="C59" t="s">
        <v>15</v>
      </c>
      <c r="D59" t="s">
        <v>40</v>
      </c>
      <c r="E59" t="s">
        <v>26</v>
      </c>
      <c r="F59" t="s">
        <v>191</v>
      </c>
      <c r="G59">
        <v>5</v>
      </c>
      <c r="H59">
        <v>12000</v>
      </c>
      <c r="I59">
        <f>Table1[[#This Row],[Unit price]]*Table1[[#This Row],[Qty Sold]]</f>
        <v>60000</v>
      </c>
      <c r="J59" t="s">
        <v>28</v>
      </c>
      <c r="K59" t="s">
        <v>94</v>
      </c>
      <c r="L59" t="s">
        <v>30</v>
      </c>
      <c r="M59">
        <v>5</v>
      </c>
    </row>
    <row r="60" spans="1:13" ht="14.25" customHeight="1" x14ac:dyDescent="0.35">
      <c r="A60" t="s">
        <v>192</v>
      </c>
      <c r="B60" t="s">
        <v>71</v>
      </c>
      <c r="C60" t="s">
        <v>56</v>
      </c>
      <c r="D60" t="s">
        <v>25</v>
      </c>
      <c r="E60" t="s">
        <v>41</v>
      </c>
      <c r="F60" t="s">
        <v>193</v>
      </c>
      <c r="G60">
        <v>3</v>
      </c>
      <c r="H60">
        <v>95000</v>
      </c>
      <c r="I60">
        <f>Table1[[#This Row],[Unit price]]*Table1[[#This Row],[Qty Sold]]</f>
        <v>285000</v>
      </c>
      <c r="J60" t="s">
        <v>19</v>
      </c>
      <c r="K60" t="s">
        <v>29</v>
      </c>
      <c r="L60" t="s">
        <v>21</v>
      </c>
      <c r="M60">
        <v>0</v>
      </c>
    </row>
    <row r="61" spans="1:13" ht="14.25" customHeight="1" x14ac:dyDescent="0.35">
      <c r="A61" t="s">
        <v>194</v>
      </c>
      <c r="B61" t="s">
        <v>109</v>
      </c>
      <c r="C61" t="s">
        <v>46</v>
      </c>
      <c r="D61" t="s">
        <v>34</v>
      </c>
      <c r="E61" t="s">
        <v>61</v>
      </c>
      <c r="F61" t="s">
        <v>195</v>
      </c>
      <c r="G61">
        <v>40</v>
      </c>
      <c r="H61">
        <v>8500</v>
      </c>
      <c r="I61">
        <f>Table1[[#This Row],[Unit price]]*Table1[[#This Row],[Qty Sold]]</f>
        <v>340000</v>
      </c>
      <c r="J61" t="s">
        <v>28</v>
      </c>
      <c r="K61" t="s">
        <v>36</v>
      </c>
      <c r="L61" t="s">
        <v>43</v>
      </c>
      <c r="M61">
        <v>30</v>
      </c>
    </row>
    <row r="62" spans="1:13" ht="14.25" customHeight="1" x14ac:dyDescent="0.35">
      <c r="A62" t="s">
        <v>196</v>
      </c>
      <c r="B62" t="s">
        <v>96</v>
      </c>
      <c r="C62" t="s">
        <v>15</v>
      </c>
      <c r="D62" t="s">
        <v>16</v>
      </c>
      <c r="E62" t="s">
        <v>17</v>
      </c>
      <c r="F62" t="s">
        <v>197</v>
      </c>
      <c r="G62">
        <v>-5</v>
      </c>
      <c r="H62">
        <v>45000</v>
      </c>
      <c r="I62">
        <f>Table1[[#This Row],[Unit price]]*Table1[[#This Row],[Qty Sold]]</f>
        <v>-225000</v>
      </c>
      <c r="J62" t="s">
        <v>19</v>
      </c>
      <c r="K62" t="s">
        <v>52</v>
      </c>
      <c r="L62" t="s">
        <v>21</v>
      </c>
      <c r="M62">
        <v>0</v>
      </c>
    </row>
    <row r="63" spans="1:13" ht="14.25" customHeight="1" x14ac:dyDescent="0.35">
      <c r="A63" t="s">
        <v>198</v>
      </c>
      <c r="B63" t="s">
        <v>199</v>
      </c>
      <c r="C63" t="s">
        <v>24</v>
      </c>
      <c r="D63" t="s">
        <v>25</v>
      </c>
      <c r="E63" t="s">
        <v>26</v>
      </c>
      <c r="F63" t="s">
        <v>200</v>
      </c>
      <c r="G63">
        <v>0</v>
      </c>
      <c r="H63">
        <v>12000</v>
      </c>
      <c r="I63">
        <f>Table1[[#This Row],[Unit price]]*Table1[[#This Row],[Qty Sold]]</f>
        <v>0</v>
      </c>
      <c r="J63" t="s">
        <v>19</v>
      </c>
      <c r="K63" t="s">
        <v>201</v>
      </c>
      <c r="L63" t="s">
        <v>37</v>
      </c>
      <c r="M63">
        <v>10</v>
      </c>
    </row>
    <row r="64" spans="1:13" ht="14.25" customHeight="1" x14ac:dyDescent="0.35">
      <c r="A64" t="s">
        <v>202</v>
      </c>
      <c r="B64" t="s">
        <v>64</v>
      </c>
      <c r="C64" t="s">
        <v>65</v>
      </c>
      <c r="D64" t="s">
        <v>34</v>
      </c>
      <c r="E64" t="s">
        <v>41</v>
      </c>
      <c r="F64" t="s">
        <v>203</v>
      </c>
      <c r="G64">
        <v>8</v>
      </c>
      <c r="H64">
        <v>95000</v>
      </c>
      <c r="I64">
        <f>Table1[[#This Row],[Unit price]]*Table1[[#This Row],[Qty Sold]]</f>
        <v>760000</v>
      </c>
      <c r="J64" t="s">
        <v>28</v>
      </c>
      <c r="K64" t="s">
        <v>20</v>
      </c>
      <c r="L64" t="s">
        <v>204</v>
      </c>
      <c r="M64">
        <v>0</v>
      </c>
    </row>
    <row r="65" spans="1:13" ht="14.25" customHeight="1" x14ac:dyDescent="0.35">
      <c r="A65" t="s">
        <v>205</v>
      </c>
      <c r="B65" t="s">
        <v>39</v>
      </c>
      <c r="C65" t="s">
        <v>82</v>
      </c>
      <c r="D65" t="s">
        <v>40</v>
      </c>
      <c r="E65" t="s">
        <v>61</v>
      </c>
      <c r="F65" t="s">
        <v>206</v>
      </c>
      <c r="G65">
        <v>13</v>
      </c>
      <c r="H65">
        <v>8500</v>
      </c>
      <c r="I65">
        <f>Table1[[#This Row],[Unit price]]*Table1[[#This Row],[Qty Sold]]</f>
        <v>110500</v>
      </c>
      <c r="J65" t="s">
        <v>19</v>
      </c>
      <c r="K65" t="s">
        <v>36</v>
      </c>
      <c r="L65" t="s">
        <v>21</v>
      </c>
      <c r="M65">
        <v>5</v>
      </c>
    </row>
    <row r="66" spans="1:13" ht="14.25" customHeight="1" x14ac:dyDescent="0.35">
      <c r="A66" t="s">
        <v>207</v>
      </c>
      <c r="B66" t="s">
        <v>88</v>
      </c>
      <c r="C66" t="s">
        <v>15</v>
      </c>
      <c r="D66" t="s">
        <v>25</v>
      </c>
      <c r="E66" t="s">
        <v>17</v>
      </c>
      <c r="F66" t="s">
        <v>208</v>
      </c>
      <c r="G66">
        <v>6</v>
      </c>
      <c r="H66">
        <v>85000</v>
      </c>
      <c r="I66">
        <f>Table1[[#This Row],[Unit price]]*Table1[[#This Row],[Qty Sold]]</f>
        <v>510000</v>
      </c>
      <c r="J66" t="s">
        <v>19</v>
      </c>
      <c r="K66" t="s">
        <v>52</v>
      </c>
      <c r="L66" t="s">
        <v>30</v>
      </c>
      <c r="M66" t="s">
        <v>151</v>
      </c>
    </row>
    <row r="67" spans="1:13" ht="14.25" customHeight="1" x14ac:dyDescent="0.35">
      <c r="A67" t="s">
        <v>209</v>
      </c>
      <c r="B67" t="s">
        <v>50</v>
      </c>
      <c r="C67" t="s">
        <v>24</v>
      </c>
      <c r="D67" t="s">
        <v>34</v>
      </c>
      <c r="E67" t="s">
        <v>26</v>
      </c>
      <c r="F67" t="s">
        <v>210</v>
      </c>
      <c r="G67">
        <v>0</v>
      </c>
      <c r="H67">
        <v>12000</v>
      </c>
      <c r="I67">
        <f>Table1[[#This Row],[Unit price]]*Table1[[#This Row],[Qty Sold]]</f>
        <v>0</v>
      </c>
      <c r="J67" t="s">
        <v>28</v>
      </c>
      <c r="K67" t="s">
        <v>94</v>
      </c>
      <c r="L67" t="s">
        <v>21</v>
      </c>
      <c r="M67">
        <v>15</v>
      </c>
    </row>
    <row r="68" spans="1:13" ht="14.25" customHeight="1" x14ac:dyDescent="0.35">
      <c r="A68" t="s">
        <v>211</v>
      </c>
      <c r="B68" t="s">
        <v>55</v>
      </c>
      <c r="C68" t="s">
        <v>56</v>
      </c>
      <c r="D68" t="s">
        <v>16</v>
      </c>
      <c r="E68" t="s">
        <v>41</v>
      </c>
      <c r="F68" t="s">
        <v>212</v>
      </c>
      <c r="G68">
        <v>4</v>
      </c>
      <c r="H68">
        <v>95000</v>
      </c>
      <c r="I68">
        <f>Table1[[#This Row],[Unit price]]*Table1[[#This Row],[Qty Sold]]</f>
        <v>380000</v>
      </c>
      <c r="J68" t="s">
        <v>19</v>
      </c>
      <c r="K68" t="s">
        <v>29</v>
      </c>
      <c r="L68" t="s">
        <v>132</v>
      </c>
      <c r="M68">
        <v>0</v>
      </c>
    </row>
    <row r="69" spans="1:13" ht="14.25" customHeight="1" x14ac:dyDescent="0.35">
      <c r="A69" t="s">
        <v>213</v>
      </c>
      <c r="B69" t="s">
        <v>59</v>
      </c>
      <c r="C69" t="s">
        <v>65</v>
      </c>
      <c r="D69" t="s">
        <v>25</v>
      </c>
      <c r="E69" t="s">
        <v>61</v>
      </c>
      <c r="F69" t="s">
        <v>214</v>
      </c>
      <c r="G69">
        <v>17</v>
      </c>
      <c r="H69">
        <v>8500</v>
      </c>
      <c r="I69">
        <f>Table1[[#This Row],[Unit price]]*Table1[[#This Row],[Qty Sold]]</f>
        <v>144500</v>
      </c>
      <c r="J69" t="s">
        <v>19</v>
      </c>
      <c r="K69" t="s">
        <v>36</v>
      </c>
      <c r="L69" t="s">
        <v>21</v>
      </c>
      <c r="M69">
        <v>10</v>
      </c>
    </row>
    <row r="70" spans="1:13" ht="14.25" customHeight="1" x14ac:dyDescent="0.35">
      <c r="A70" t="s">
        <v>215</v>
      </c>
      <c r="B70" t="s">
        <v>145</v>
      </c>
      <c r="C70" t="s">
        <v>46</v>
      </c>
      <c r="D70" t="s">
        <v>34</v>
      </c>
      <c r="E70" t="s">
        <v>17</v>
      </c>
      <c r="F70" t="s">
        <v>216</v>
      </c>
      <c r="G70">
        <v>0</v>
      </c>
      <c r="H70">
        <v>45000</v>
      </c>
      <c r="I70">
        <f>Table1[[#This Row],[Unit price]]*Table1[[#This Row],[Qty Sold]]</f>
        <v>0</v>
      </c>
      <c r="J70" t="s">
        <v>28</v>
      </c>
      <c r="K70" t="s">
        <v>52</v>
      </c>
      <c r="L70" t="s">
        <v>21</v>
      </c>
      <c r="M70">
        <v>0</v>
      </c>
    </row>
    <row r="71" spans="1:13" ht="14.25" customHeight="1" x14ac:dyDescent="0.35">
      <c r="A71" t="s">
        <v>217</v>
      </c>
      <c r="B71" t="s">
        <v>39</v>
      </c>
      <c r="C71" t="s">
        <v>15</v>
      </c>
      <c r="D71" t="s">
        <v>40</v>
      </c>
      <c r="E71" t="s">
        <v>26</v>
      </c>
      <c r="F71" t="s">
        <v>218</v>
      </c>
      <c r="G71">
        <v>9</v>
      </c>
      <c r="H71">
        <v>12000</v>
      </c>
      <c r="I71">
        <f>Table1[[#This Row],[Unit price]]*Table1[[#This Row],[Qty Sold]]</f>
        <v>108000</v>
      </c>
      <c r="J71" t="s">
        <v>19</v>
      </c>
      <c r="K71" t="s">
        <v>48</v>
      </c>
      <c r="L71" t="s">
        <v>219</v>
      </c>
      <c r="M71">
        <v>5</v>
      </c>
    </row>
    <row r="72" spans="1:13" ht="14.25" customHeight="1" x14ac:dyDescent="0.35">
      <c r="A72" t="s">
        <v>220</v>
      </c>
      <c r="B72" t="s">
        <v>221</v>
      </c>
      <c r="C72" t="s">
        <v>24</v>
      </c>
      <c r="D72" t="s">
        <v>25</v>
      </c>
      <c r="E72" t="s">
        <v>41</v>
      </c>
      <c r="F72" t="s">
        <v>222</v>
      </c>
      <c r="G72">
        <v>2</v>
      </c>
      <c r="H72">
        <v>95000</v>
      </c>
      <c r="I72">
        <f>Table1[[#This Row],[Unit price]]*Table1[[#This Row],[Qty Sold]]</f>
        <v>190000</v>
      </c>
      <c r="J72" t="s">
        <v>19</v>
      </c>
      <c r="K72" t="s">
        <v>29</v>
      </c>
      <c r="L72" t="s">
        <v>21</v>
      </c>
      <c r="M72">
        <v>0</v>
      </c>
    </row>
    <row r="73" spans="1:13" ht="14.25" customHeight="1" x14ac:dyDescent="0.35">
      <c r="A73" t="s">
        <v>223</v>
      </c>
      <c r="B73" t="s">
        <v>50</v>
      </c>
      <c r="C73" t="s">
        <v>82</v>
      </c>
      <c r="D73" t="s">
        <v>34</v>
      </c>
      <c r="E73" t="s">
        <v>61</v>
      </c>
      <c r="F73" t="s">
        <v>224</v>
      </c>
      <c r="G73">
        <v>31</v>
      </c>
      <c r="H73">
        <v>8500</v>
      </c>
      <c r="I73">
        <f>Table1[[#This Row],[Unit price]]*Table1[[#This Row],[Qty Sold]]</f>
        <v>263500</v>
      </c>
      <c r="J73" t="s">
        <v>28</v>
      </c>
      <c r="K73" t="s">
        <v>20</v>
      </c>
      <c r="L73" t="s">
        <v>21</v>
      </c>
      <c r="M73">
        <v>20</v>
      </c>
    </row>
    <row r="74" spans="1:13" ht="14.25" customHeight="1" x14ac:dyDescent="0.35">
      <c r="A74" t="s">
        <v>225</v>
      </c>
      <c r="B74" t="s">
        <v>156</v>
      </c>
      <c r="C74" t="s">
        <v>15</v>
      </c>
      <c r="D74" t="s">
        <v>16</v>
      </c>
      <c r="E74" t="s">
        <v>17</v>
      </c>
      <c r="F74" t="s">
        <v>226</v>
      </c>
      <c r="G74">
        <v>0</v>
      </c>
      <c r="H74">
        <v>85000</v>
      </c>
      <c r="I74">
        <f>Table1[[#This Row],[Unit price]]*Table1[[#This Row],[Qty Sold]]</f>
        <v>0</v>
      </c>
      <c r="J74" t="s">
        <v>19</v>
      </c>
      <c r="K74" t="s">
        <v>90</v>
      </c>
      <c r="L74" t="s">
        <v>37</v>
      </c>
      <c r="M74" t="s">
        <v>151</v>
      </c>
    </row>
    <row r="75" spans="1:13" ht="14.25" customHeight="1" x14ac:dyDescent="0.35">
      <c r="A75" t="s">
        <v>227</v>
      </c>
      <c r="B75" t="s">
        <v>59</v>
      </c>
      <c r="C75" t="s">
        <v>75</v>
      </c>
      <c r="D75" t="s">
        <v>25</v>
      </c>
      <c r="E75" t="s">
        <v>26</v>
      </c>
      <c r="F75" t="s">
        <v>228</v>
      </c>
      <c r="G75">
        <v>12</v>
      </c>
      <c r="H75">
        <v>12000</v>
      </c>
      <c r="I75">
        <f>Table1[[#This Row],[Unit price]]*Table1[[#This Row],[Qty Sold]]</f>
        <v>144000</v>
      </c>
      <c r="J75" t="s">
        <v>19</v>
      </c>
      <c r="K75" t="s">
        <v>94</v>
      </c>
      <c r="L75" t="s">
        <v>43</v>
      </c>
      <c r="M75">
        <v>10</v>
      </c>
    </row>
    <row r="76" spans="1:13" ht="14.25" customHeight="1" x14ac:dyDescent="0.35">
      <c r="A76" t="s">
        <v>229</v>
      </c>
      <c r="B76" t="s">
        <v>64</v>
      </c>
      <c r="C76" t="s">
        <v>15</v>
      </c>
      <c r="D76" t="s">
        <v>34</v>
      </c>
      <c r="E76" t="s">
        <v>41</v>
      </c>
      <c r="F76" t="s">
        <v>230</v>
      </c>
      <c r="G76">
        <v>5</v>
      </c>
      <c r="H76">
        <v>95000</v>
      </c>
      <c r="I76">
        <f>Table1[[#This Row],[Unit price]]*Table1[[#This Row],[Qty Sold]]</f>
        <v>475000</v>
      </c>
      <c r="J76" t="s">
        <v>28</v>
      </c>
      <c r="K76" t="s">
        <v>29</v>
      </c>
      <c r="L76" t="s">
        <v>30</v>
      </c>
      <c r="M76">
        <v>0</v>
      </c>
    </row>
    <row r="77" spans="1:13" ht="14.25" customHeight="1" x14ac:dyDescent="0.35"/>
    <row r="78" spans="1:13" ht="14.25" customHeight="1" x14ac:dyDescent="0.35"/>
    <row r="79" spans="1:13" ht="14.25" customHeight="1" x14ac:dyDescent="0.35"/>
    <row r="80" spans="1:13"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A391C-F95E-4F89-BDE3-6D748C78D44F}">
  <sheetPr>
    <tabColor theme="9" tint="-0.499984740745262"/>
  </sheetPr>
  <dimension ref="A1:M76"/>
  <sheetViews>
    <sheetView topLeftCell="E1" workbookViewId="0"/>
  </sheetViews>
  <sheetFormatPr defaultRowHeight="14.5" x14ac:dyDescent="0.35"/>
  <cols>
    <col min="1" max="1" width="9.08984375" bestFit="1" customWidth="1"/>
    <col min="2" max="2" width="17.1796875" bestFit="1" customWidth="1"/>
    <col min="3" max="3" width="13.36328125" bestFit="1" customWidth="1"/>
    <col min="5" max="5" width="17.7265625" bestFit="1" customWidth="1"/>
    <col min="6" max="6" width="13" bestFit="1" customWidth="1"/>
    <col min="7" max="7" width="10.08984375" bestFit="1" customWidth="1"/>
    <col min="8" max="8" width="11.1796875" bestFit="1" customWidth="1"/>
    <col min="9" max="9" width="15" bestFit="1" customWidth="1"/>
    <col min="10" max="10" width="15.81640625" bestFit="1" customWidth="1"/>
    <col min="11" max="11" width="17.81640625" bestFit="1" customWidth="1"/>
    <col min="12" max="12" width="13.7265625" bestFit="1" customWidth="1"/>
    <col min="13" max="13" width="13.6328125" bestFit="1" customWidth="1"/>
  </cols>
  <sheetData>
    <row r="1" spans="1:13" x14ac:dyDescent="0.35">
      <c r="A1" t="s">
        <v>0</v>
      </c>
      <c r="B1" t="s">
        <v>330</v>
      </c>
      <c r="C1" t="s">
        <v>331</v>
      </c>
      <c r="D1" t="s">
        <v>3</v>
      </c>
      <c r="E1" t="s">
        <v>4</v>
      </c>
      <c r="F1" t="s">
        <v>5</v>
      </c>
      <c r="G1" t="s">
        <v>6</v>
      </c>
      <c r="H1" t="s">
        <v>332</v>
      </c>
      <c r="I1" t="s">
        <v>8</v>
      </c>
      <c r="J1" t="s">
        <v>9</v>
      </c>
      <c r="K1" t="s">
        <v>10</v>
      </c>
      <c r="L1" t="s">
        <v>11</v>
      </c>
      <c r="M1" t="s">
        <v>12</v>
      </c>
    </row>
    <row r="2" spans="1:13" x14ac:dyDescent="0.35">
      <c r="A2" s="16" t="s">
        <v>13</v>
      </c>
      <c r="B2" s="16" t="s">
        <v>96</v>
      </c>
      <c r="C2" s="16" t="s">
        <v>15</v>
      </c>
      <c r="D2" s="16" t="s">
        <v>16</v>
      </c>
      <c r="E2" s="16" t="s">
        <v>17</v>
      </c>
      <c r="F2" s="16" t="s">
        <v>18</v>
      </c>
      <c r="G2" s="14">
        <v>3</v>
      </c>
      <c r="H2" s="14">
        <v>85000</v>
      </c>
      <c r="I2" s="14">
        <v>255000</v>
      </c>
      <c r="J2" s="16" t="s">
        <v>19</v>
      </c>
      <c r="K2" s="16" t="s">
        <v>20</v>
      </c>
      <c r="L2" s="16" t="s">
        <v>21</v>
      </c>
      <c r="M2" s="14">
        <v>0</v>
      </c>
    </row>
    <row r="3" spans="1:13" x14ac:dyDescent="0.35">
      <c r="A3" s="16" t="s">
        <v>22</v>
      </c>
      <c r="B3" s="16" t="s">
        <v>59</v>
      </c>
      <c r="C3" s="16" t="s">
        <v>15</v>
      </c>
      <c r="D3" s="16" t="s">
        <v>25</v>
      </c>
      <c r="E3" s="16" t="s">
        <v>26</v>
      </c>
      <c r="F3" s="16" t="s">
        <v>27</v>
      </c>
      <c r="G3" s="14">
        <v>7</v>
      </c>
      <c r="H3" s="14">
        <v>12000</v>
      </c>
      <c r="I3" s="14">
        <v>84000</v>
      </c>
      <c r="J3" s="16" t="s">
        <v>28</v>
      </c>
      <c r="K3" s="16" t="s">
        <v>29</v>
      </c>
      <c r="L3" s="16" t="s">
        <v>21</v>
      </c>
      <c r="M3" s="14">
        <v>5</v>
      </c>
    </row>
    <row r="4" spans="1:13" x14ac:dyDescent="0.35">
      <c r="A4" s="16" t="s">
        <v>31</v>
      </c>
      <c r="B4" s="16" t="s">
        <v>64</v>
      </c>
      <c r="C4" s="16" t="s">
        <v>65</v>
      </c>
      <c r="D4" s="16" t="s">
        <v>34</v>
      </c>
      <c r="E4" s="16" t="s">
        <v>17</v>
      </c>
      <c r="F4" s="16" t="s">
        <v>35</v>
      </c>
      <c r="G4" s="14">
        <v>0</v>
      </c>
      <c r="H4" s="14">
        <v>45000</v>
      </c>
      <c r="I4" s="14">
        <v>0</v>
      </c>
      <c r="J4" s="16" t="s">
        <v>19</v>
      </c>
      <c r="K4" s="16" t="s">
        <v>36</v>
      </c>
      <c r="L4" s="16" t="s">
        <v>37</v>
      </c>
      <c r="M4" s="14">
        <v>10</v>
      </c>
    </row>
    <row r="5" spans="1:13" x14ac:dyDescent="0.35">
      <c r="A5" s="16" t="s">
        <v>38</v>
      </c>
      <c r="B5" s="16" t="s">
        <v>39</v>
      </c>
      <c r="C5" s="16" t="s">
        <v>15</v>
      </c>
      <c r="D5" s="16" t="s">
        <v>40</v>
      </c>
      <c r="E5" s="16" t="s">
        <v>41</v>
      </c>
      <c r="F5" s="16" t="s">
        <v>42</v>
      </c>
      <c r="G5" s="14">
        <v>5</v>
      </c>
      <c r="H5" s="14">
        <v>95000</v>
      </c>
      <c r="I5" s="14">
        <v>475000</v>
      </c>
      <c r="J5" s="16" t="s">
        <v>28</v>
      </c>
      <c r="K5" s="16" t="s">
        <v>20</v>
      </c>
      <c r="L5" s="16" t="s">
        <v>21</v>
      </c>
      <c r="M5" s="14">
        <v>0</v>
      </c>
    </row>
    <row r="6" spans="1:13" x14ac:dyDescent="0.35">
      <c r="A6" s="16" t="s">
        <v>44</v>
      </c>
      <c r="B6" s="16" t="s">
        <v>71</v>
      </c>
      <c r="C6" s="16" t="s">
        <v>15</v>
      </c>
      <c r="D6" s="16" t="s">
        <v>25</v>
      </c>
      <c r="E6" s="16" t="s">
        <v>26</v>
      </c>
      <c r="F6" s="16" t="s">
        <v>47</v>
      </c>
      <c r="G6" s="14">
        <v>10</v>
      </c>
      <c r="H6" s="14">
        <v>12000</v>
      </c>
      <c r="I6" s="14">
        <v>120000</v>
      </c>
      <c r="J6" s="16" t="s">
        <v>19</v>
      </c>
      <c r="K6" s="16" t="s">
        <v>36</v>
      </c>
      <c r="L6" s="16" t="s">
        <v>21</v>
      </c>
      <c r="M6" s="14">
        <v>15</v>
      </c>
    </row>
    <row r="7" spans="1:13" x14ac:dyDescent="0.35">
      <c r="A7" s="16" t="s">
        <v>49</v>
      </c>
      <c r="B7" s="16" t="s">
        <v>50</v>
      </c>
      <c r="C7" s="16" t="s">
        <v>15</v>
      </c>
      <c r="D7" s="16" t="s">
        <v>34</v>
      </c>
      <c r="E7" s="16" t="s">
        <v>17</v>
      </c>
      <c r="F7" s="16" t="s">
        <v>51</v>
      </c>
      <c r="G7" s="14">
        <v>4</v>
      </c>
      <c r="H7" s="14">
        <v>85000</v>
      </c>
      <c r="I7" s="14">
        <v>340000</v>
      </c>
      <c r="J7" s="16" t="s">
        <v>19</v>
      </c>
      <c r="K7" s="16" t="s">
        <v>20</v>
      </c>
      <c r="L7" s="16" t="s">
        <v>53</v>
      </c>
      <c r="M7" s="14">
        <v>0</v>
      </c>
    </row>
    <row r="8" spans="1:13" x14ac:dyDescent="0.35">
      <c r="A8" s="16" t="s">
        <v>54</v>
      </c>
      <c r="B8" s="16" t="s">
        <v>96</v>
      </c>
      <c r="C8" s="16" t="s">
        <v>15</v>
      </c>
      <c r="D8" s="16" t="s">
        <v>16</v>
      </c>
      <c r="E8" s="16" t="s">
        <v>41</v>
      </c>
      <c r="F8" s="16" t="s">
        <v>57</v>
      </c>
      <c r="G8" s="14">
        <v>0</v>
      </c>
      <c r="H8" s="14">
        <v>95000</v>
      </c>
      <c r="I8" s="14">
        <v>0</v>
      </c>
      <c r="J8" s="16" t="s">
        <v>28</v>
      </c>
      <c r="K8" s="16" t="s">
        <v>29</v>
      </c>
      <c r="L8" s="16" t="s">
        <v>21</v>
      </c>
      <c r="M8" s="14">
        <v>5</v>
      </c>
    </row>
    <row r="9" spans="1:13" x14ac:dyDescent="0.35">
      <c r="A9" s="16" t="s">
        <v>58</v>
      </c>
      <c r="B9" s="16" t="s">
        <v>59</v>
      </c>
      <c r="C9" s="16" t="s">
        <v>15</v>
      </c>
      <c r="D9" s="16" t="s">
        <v>25</v>
      </c>
      <c r="E9" s="16" t="s">
        <v>61</v>
      </c>
      <c r="F9" s="16" t="s">
        <v>62</v>
      </c>
      <c r="G9" s="14">
        <v>12</v>
      </c>
      <c r="H9" s="14">
        <v>8500</v>
      </c>
      <c r="I9" s="14">
        <v>102000</v>
      </c>
      <c r="J9" s="16" t="s">
        <v>19</v>
      </c>
      <c r="K9" s="16" t="s">
        <v>20</v>
      </c>
      <c r="L9" s="16" t="s">
        <v>37</v>
      </c>
      <c r="M9" s="14">
        <v>0</v>
      </c>
    </row>
    <row r="10" spans="1:13" x14ac:dyDescent="0.35">
      <c r="A10" s="16" t="s">
        <v>63</v>
      </c>
      <c r="B10" s="16" t="s">
        <v>64</v>
      </c>
      <c r="C10" s="16" t="s">
        <v>65</v>
      </c>
      <c r="D10" s="16" t="s">
        <v>34</v>
      </c>
      <c r="E10" s="16" t="s">
        <v>26</v>
      </c>
      <c r="F10" s="16" t="s">
        <v>66</v>
      </c>
      <c r="G10" s="14">
        <v>6</v>
      </c>
      <c r="H10" s="14">
        <v>12000</v>
      </c>
      <c r="I10" s="14">
        <v>72000</v>
      </c>
      <c r="J10" s="16" t="s">
        <v>19</v>
      </c>
      <c r="K10" s="16" t="s">
        <v>36</v>
      </c>
      <c r="L10" s="16" t="s">
        <v>21</v>
      </c>
      <c r="M10" s="14">
        <v>10</v>
      </c>
    </row>
    <row r="11" spans="1:13" x14ac:dyDescent="0.35">
      <c r="A11" s="16" t="s">
        <v>67</v>
      </c>
      <c r="B11" s="16" t="s">
        <v>39</v>
      </c>
      <c r="C11" s="16" t="s">
        <v>15</v>
      </c>
      <c r="D11" s="16" t="s">
        <v>40</v>
      </c>
      <c r="E11" s="16" t="s">
        <v>17</v>
      </c>
      <c r="F11" s="16" t="s">
        <v>69</v>
      </c>
      <c r="G11" s="14">
        <v>2</v>
      </c>
      <c r="H11" s="14">
        <v>45000</v>
      </c>
      <c r="I11" s="14">
        <v>90000</v>
      </c>
      <c r="J11" s="16" t="s">
        <v>28</v>
      </c>
      <c r="K11" s="16" t="s">
        <v>29</v>
      </c>
      <c r="L11" s="16" t="s">
        <v>21</v>
      </c>
      <c r="M11" s="14">
        <v>0</v>
      </c>
    </row>
    <row r="12" spans="1:13" x14ac:dyDescent="0.35">
      <c r="A12" s="16" t="s">
        <v>70</v>
      </c>
      <c r="B12" s="16" t="s">
        <v>71</v>
      </c>
      <c r="C12" s="16" t="s">
        <v>15</v>
      </c>
      <c r="D12" s="16" t="s">
        <v>25</v>
      </c>
      <c r="E12" s="16" t="s">
        <v>41</v>
      </c>
      <c r="F12" s="16" t="s">
        <v>72</v>
      </c>
      <c r="G12" s="14">
        <v>0</v>
      </c>
      <c r="H12" s="14">
        <v>95000</v>
      </c>
      <c r="I12" s="14">
        <v>0</v>
      </c>
      <c r="J12" s="16" t="s">
        <v>19</v>
      </c>
      <c r="K12" s="16" t="s">
        <v>20</v>
      </c>
      <c r="L12" s="16" t="s">
        <v>53</v>
      </c>
      <c r="M12" s="14">
        <v>0</v>
      </c>
    </row>
    <row r="13" spans="1:13" x14ac:dyDescent="0.35">
      <c r="A13" s="16" t="s">
        <v>74</v>
      </c>
      <c r="B13" s="16" t="s">
        <v>50</v>
      </c>
      <c r="C13" s="16" t="s">
        <v>65</v>
      </c>
      <c r="D13" s="16" t="s">
        <v>34</v>
      </c>
      <c r="E13" s="16" t="s">
        <v>61</v>
      </c>
      <c r="F13" s="16" t="s">
        <v>76</v>
      </c>
      <c r="G13" s="14">
        <v>8</v>
      </c>
      <c r="H13" s="14">
        <v>8500</v>
      </c>
      <c r="I13" s="14">
        <v>68000</v>
      </c>
      <c r="J13" s="16" t="s">
        <v>19</v>
      </c>
      <c r="K13" s="16" t="s">
        <v>36</v>
      </c>
      <c r="L13" s="16" t="s">
        <v>21</v>
      </c>
      <c r="M13" s="14">
        <v>5</v>
      </c>
    </row>
    <row r="14" spans="1:13" x14ac:dyDescent="0.35">
      <c r="A14" s="16" t="s">
        <v>77</v>
      </c>
      <c r="B14" s="16" t="s">
        <v>96</v>
      </c>
      <c r="C14" s="16" t="s">
        <v>15</v>
      </c>
      <c r="D14" s="16" t="s">
        <v>16</v>
      </c>
      <c r="E14" s="16" t="s">
        <v>26</v>
      </c>
      <c r="F14" s="16" t="s">
        <v>79</v>
      </c>
      <c r="G14" s="14">
        <v>15</v>
      </c>
      <c r="H14" s="14">
        <v>12000</v>
      </c>
      <c r="I14" s="14">
        <v>180000</v>
      </c>
      <c r="J14" s="16" t="s">
        <v>28</v>
      </c>
      <c r="K14" s="16" t="s">
        <v>20</v>
      </c>
      <c r="L14" s="16" t="s">
        <v>21</v>
      </c>
      <c r="M14" s="14">
        <v>10</v>
      </c>
    </row>
    <row r="15" spans="1:13" x14ac:dyDescent="0.35">
      <c r="A15" s="16" t="s">
        <v>80</v>
      </c>
      <c r="B15" s="16" t="s">
        <v>59</v>
      </c>
      <c r="C15" s="16" t="s">
        <v>15</v>
      </c>
      <c r="D15" s="16" t="s">
        <v>25</v>
      </c>
      <c r="E15" s="16" t="s">
        <v>17</v>
      </c>
      <c r="F15" s="16" t="s">
        <v>329</v>
      </c>
      <c r="G15" s="14">
        <v>3</v>
      </c>
      <c r="H15" s="14">
        <v>85000</v>
      </c>
      <c r="I15" s="14">
        <v>255000</v>
      </c>
      <c r="J15" s="16" t="s">
        <v>19</v>
      </c>
      <c r="K15" s="16" t="s">
        <v>29</v>
      </c>
      <c r="L15" s="16" t="s">
        <v>37</v>
      </c>
      <c r="M15" s="14">
        <v>0</v>
      </c>
    </row>
    <row r="16" spans="1:13" x14ac:dyDescent="0.35">
      <c r="A16" s="16" t="s">
        <v>83</v>
      </c>
      <c r="B16" s="16" t="s">
        <v>64</v>
      </c>
      <c r="C16" s="16" t="s">
        <v>65</v>
      </c>
      <c r="D16" s="16" t="s">
        <v>34</v>
      </c>
      <c r="E16" s="16" t="s">
        <v>41</v>
      </c>
      <c r="F16" s="16" t="s">
        <v>84</v>
      </c>
      <c r="G16" s="14">
        <v>7</v>
      </c>
      <c r="H16" s="14">
        <v>95000</v>
      </c>
      <c r="I16" s="14">
        <v>665000</v>
      </c>
      <c r="J16" s="16" t="s">
        <v>28</v>
      </c>
      <c r="K16" s="16" t="s">
        <v>36</v>
      </c>
      <c r="L16" s="16" t="s">
        <v>21</v>
      </c>
      <c r="M16" s="14">
        <v>0</v>
      </c>
    </row>
    <row r="17" spans="1:13" x14ac:dyDescent="0.35">
      <c r="A17" s="16" t="s">
        <v>85</v>
      </c>
      <c r="B17" s="16" t="s">
        <v>39</v>
      </c>
      <c r="C17" s="16" t="s">
        <v>15</v>
      </c>
      <c r="D17" s="16" t="s">
        <v>40</v>
      </c>
      <c r="E17" s="16" t="s">
        <v>61</v>
      </c>
      <c r="F17" s="16" t="s">
        <v>86</v>
      </c>
      <c r="G17" s="14">
        <v>20</v>
      </c>
      <c r="H17" s="14">
        <v>8500</v>
      </c>
      <c r="I17" s="14">
        <v>170000</v>
      </c>
      <c r="J17" s="16" t="s">
        <v>19</v>
      </c>
      <c r="K17" s="16" t="s">
        <v>20</v>
      </c>
      <c r="L17" s="16" t="s">
        <v>21</v>
      </c>
      <c r="M17" s="14">
        <v>15</v>
      </c>
    </row>
    <row r="18" spans="1:13" x14ac:dyDescent="0.35">
      <c r="A18" s="16" t="s">
        <v>87</v>
      </c>
      <c r="B18" s="16" t="s">
        <v>71</v>
      </c>
      <c r="C18" s="16" t="s">
        <v>15</v>
      </c>
      <c r="D18" s="16" t="s">
        <v>25</v>
      </c>
      <c r="E18" s="16" t="s">
        <v>17</v>
      </c>
      <c r="F18" s="16" t="s">
        <v>89</v>
      </c>
      <c r="G18" s="14">
        <v>0</v>
      </c>
      <c r="H18" s="14">
        <v>45000</v>
      </c>
      <c r="I18" s="14">
        <v>0</v>
      </c>
      <c r="J18" s="16" t="s">
        <v>19</v>
      </c>
      <c r="K18" s="16" t="s">
        <v>36</v>
      </c>
      <c r="L18" s="16" t="s">
        <v>91</v>
      </c>
      <c r="M18" s="14">
        <v>5</v>
      </c>
    </row>
    <row r="19" spans="1:13" x14ac:dyDescent="0.35">
      <c r="A19" s="16" t="s">
        <v>92</v>
      </c>
      <c r="B19" s="16" t="s">
        <v>50</v>
      </c>
      <c r="C19" s="16" t="s">
        <v>15</v>
      </c>
      <c r="D19" s="16" t="s">
        <v>34</v>
      </c>
      <c r="E19" s="16" t="s">
        <v>26</v>
      </c>
      <c r="F19" s="16" t="s">
        <v>93</v>
      </c>
      <c r="G19" s="14">
        <v>9</v>
      </c>
      <c r="H19" s="14">
        <v>12000</v>
      </c>
      <c r="I19" s="14">
        <v>108000</v>
      </c>
      <c r="J19" s="16" t="s">
        <v>28</v>
      </c>
      <c r="K19" s="16" t="s">
        <v>20</v>
      </c>
      <c r="L19" s="16" t="s">
        <v>21</v>
      </c>
      <c r="M19" s="14">
        <v>0</v>
      </c>
    </row>
    <row r="20" spans="1:13" x14ac:dyDescent="0.35">
      <c r="A20" s="16" t="s">
        <v>95</v>
      </c>
      <c r="B20" s="16" t="s">
        <v>96</v>
      </c>
      <c r="C20" s="16" t="s">
        <v>15</v>
      </c>
      <c r="D20" s="16" t="s">
        <v>16</v>
      </c>
      <c r="E20" s="16" t="s">
        <v>41</v>
      </c>
      <c r="F20" s="16" t="s">
        <v>97</v>
      </c>
      <c r="G20" s="14">
        <v>4</v>
      </c>
      <c r="H20" s="14">
        <v>95000</v>
      </c>
      <c r="I20" s="14">
        <v>380000</v>
      </c>
      <c r="J20" s="16" t="s">
        <v>19</v>
      </c>
      <c r="K20" s="16" t="s">
        <v>29</v>
      </c>
      <c r="L20" s="16" t="s">
        <v>21</v>
      </c>
      <c r="M20" s="14">
        <v>10</v>
      </c>
    </row>
    <row r="21" spans="1:13" x14ac:dyDescent="0.35">
      <c r="A21" s="16" t="s">
        <v>98</v>
      </c>
      <c r="B21" s="16" t="s">
        <v>59</v>
      </c>
      <c r="C21" s="16" t="s">
        <v>15</v>
      </c>
      <c r="D21" s="16" t="s">
        <v>25</v>
      </c>
      <c r="E21" s="16" t="s">
        <v>61</v>
      </c>
      <c r="F21" s="16" t="s">
        <v>99</v>
      </c>
      <c r="G21" s="14">
        <v>18</v>
      </c>
      <c r="H21" s="14">
        <v>8500</v>
      </c>
      <c r="I21" s="14">
        <v>153000</v>
      </c>
      <c r="J21" s="16" t="s">
        <v>28</v>
      </c>
      <c r="K21" s="16" t="s">
        <v>20</v>
      </c>
      <c r="L21" s="16" t="s">
        <v>21</v>
      </c>
      <c r="M21" s="14">
        <v>0</v>
      </c>
    </row>
    <row r="22" spans="1:13" x14ac:dyDescent="0.35">
      <c r="A22" s="16" t="s">
        <v>100</v>
      </c>
      <c r="B22" s="16" t="s">
        <v>64</v>
      </c>
      <c r="C22" s="16" t="s">
        <v>65</v>
      </c>
      <c r="D22" s="16" t="s">
        <v>34</v>
      </c>
      <c r="E22" s="16" t="s">
        <v>17</v>
      </c>
      <c r="F22" s="16" t="s">
        <v>102</v>
      </c>
      <c r="G22" s="14">
        <v>0</v>
      </c>
      <c r="H22" s="14">
        <v>85000</v>
      </c>
      <c r="I22" s="14">
        <v>0</v>
      </c>
      <c r="J22" s="16" t="s">
        <v>19</v>
      </c>
      <c r="K22" s="16" t="s">
        <v>36</v>
      </c>
      <c r="L22" s="16" t="s">
        <v>37</v>
      </c>
      <c r="M22" s="14">
        <v>0</v>
      </c>
    </row>
    <row r="23" spans="1:13" x14ac:dyDescent="0.35">
      <c r="A23" s="16" t="s">
        <v>103</v>
      </c>
      <c r="B23" s="16" t="s">
        <v>39</v>
      </c>
      <c r="C23" s="16" t="s">
        <v>15</v>
      </c>
      <c r="D23" s="16" t="s">
        <v>40</v>
      </c>
      <c r="E23" s="16" t="s">
        <v>26</v>
      </c>
      <c r="F23" s="16" t="s">
        <v>104</v>
      </c>
      <c r="G23" s="14">
        <v>0</v>
      </c>
      <c r="H23" s="14">
        <v>12000</v>
      </c>
      <c r="I23" s="14">
        <v>0</v>
      </c>
      <c r="J23" s="16" t="s">
        <v>19</v>
      </c>
      <c r="K23" s="16" t="s">
        <v>29</v>
      </c>
      <c r="L23" s="16" t="s">
        <v>21</v>
      </c>
      <c r="M23" s="14">
        <v>5</v>
      </c>
    </row>
    <row r="24" spans="1:13" x14ac:dyDescent="0.35">
      <c r="A24" s="16" t="s">
        <v>106</v>
      </c>
      <c r="B24" s="16" t="s">
        <v>71</v>
      </c>
      <c r="C24" s="16" t="s">
        <v>15</v>
      </c>
      <c r="D24" s="16" t="s">
        <v>25</v>
      </c>
      <c r="E24" s="16" t="s">
        <v>41</v>
      </c>
      <c r="F24" s="16" t="s">
        <v>107</v>
      </c>
      <c r="G24" s="14">
        <v>3</v>
      </c>
      <c r="H24" s="14">
        <v>95000</v>
      </c>
      <c r="I24" s="14">
        <v>285000</v>
      </c>
      <c r="J24" s="16" t="s">
        <v>28</v>
      </c>
      <c r="K24" s="16" t="s">
        <v>20</v>
      </c>
      <c r="L24" s="16" t="s">
        <v>21</v>
      </c>
      <c r="M24" s="14">
        <v>0</v>
      </c>
    </row>
    <row r="25" spans="1:13" x14ac:dyDescent="0.35">
      <c r="A25" s="16" t="s">
        <v>108</v>
      </c>
      <c r="B25" s="16" t="s">
        <v>50</v>
      </c>
      <c r="C25" s="16" t="s">
        <v>15</v>
      </c>
      <c r="D25" s="16" t="s">
        <v>34</v>
      </c>
      <c r="E25" s="16" t="s">
        <v>61</v>
      </c>
      <c r="F25" s="16" t="s">
        <v>110</v>
      </c>
      <c r="G25" s="14">
        <v>25</v>
      </c>
      <c r="H25" s="14">
        <v>8500</v>
      </c>
      <c r="I25" s="14">
        <v>212500</v>
      </c>
      <c r="J25" s="16" t="s">
        <v>19</v>
      </c>
      <c r="K25" s="16" t="s">
        <v>36</v>
      </c>
      <c r="L25" s="16" t="s">
        <v>21</v>
      </c>
      <c r="M25" s="14">
        <v>20</v>
      </c>
    </row>
    <row r="26" spans="1:13" x14ac:dyDescent="0.35">
      <c r="A26" s="16" t="s">
        <v>111</v>
      </c>
      <c r="B26" s="16" t="s">
        <v>96</v>
      </c>
      <c r="C26" s="16" t="s">
        <v>15</v>
      </c>
      <c r="D26" s="16" t="s">
        <v>16</v>
      </c>
      <c r="E26" s="16" t="s">
        <v>17</v>
      </c>
      <c r="F26" s="16" t="s">
        <v>113</v>
      </c>
      <c r="G26" s="14">
        <v>-2</v>
      </c>
      <c r="H26" s="14">
        <v>85000</v>
      </c>
      <c r="I26" s="14">
        <v>-170000</v>
      </c>
      <c r="J26" s="16" t="s">
        <v>19</v>
      </c>
      <c r="K26" s="16" t="s">
        <v>36</v>
      </c>
      <c r="L26" s="16" t="s">
        <v>21</v>
      </c>
      <c r="M26" s="14">
        <v>0</v>
      </c>
    </row>
    <row r="27" spans="1:13" x14ac:dyDescent="0.35">
      <c r="A27" s="16" t="s">
        <v>114</v>
      </c>
      <c r="B27" s="16" t="s">
        <v>59</v>
      </c>
      <c r="C27" s="16" t="s">
        <v>15</v>
      </c>
      <c r="D27" s="16" t="s">
        <v>25</v>
      </c>
      <c r="E27" s="16" t="s">
        <v>26</v>
      </c>
      <c r="F27" s="16" t="s">
        <v>115</v>
      </c>
      <c r="G27" s="14">
        <v>8</v>
      </c>
      <c r="H27" s="14">
        <v>12000</v>
      </c>
      <c r="I27" s="14">
        <v>96000</v>
      </c>
      <c r="J27" s="16" t="s">
        <v>28</v>
      </c>
      <c r="K27" s="16" t="s">
        <v>20</v>
      </c>
      <c r="L27" s="16" t="s">
        <v>53</v>
      </c>
      <c r="M27" s="14">
        <v>10</v>
      </c>
    </row>
    <row r="28" spans="1:13" x14ac:dyDescent="0.35">
      <c r="A28" s="16" t="s">
        <v>116</v>
      </c>
      <c r="B28" s="16" t="s">
        <v>64</v>
      </c>
      <c r="C28" s="16" t="s">
        <v>65</v>
      </c>
      <c r="D28" s="16" t="s">
        <v>34</v>
      </c>
      <c r="E28" s="16" t="s">
        <v>41</v>
      </c>
      <c r="F28" s="16" t="s">
        <v>117</v>
      </c>
      <c r="G28" s="14">
        <v>0</v>
      </c>
      <c r="H28" s="14">
        <v>95000</v>
      </c>
      <c r="I28" s="14">
        <v>0</v>
      </c>
      <c r="J28" s="16" t="s">
        <v>19</v>
      </c>
      <c r="K28" s="16" t="s">
        <v>29</v>
      </c>
      <c r="L28" s="16" t="s">
        <v>21</v>
      </c>
      <c r="M28" s="14">
        <v>0</v>
      </c>
    </row>
    <row r="29" spans="1:13" x14ac:dyDescent="0.35">
      <c r="A29" s="16" t="s">
        <v>118</v>
      </c>
      <c r="B29" s="16" t="s">
        <v>39</v>
      </c>
      <c r="C29" s="16" t="s">
        <v>15</v>
      </c>
      <c r="D29" s="16" t="s">
        <v>40</v>
      </c>
      <c r="E29" s="16" t="s">
        <v>61</v>
      </c>
      <c r="F29" s="16" t="s">
        <v>120</v>
      </c>
      <c r="G29" s="14">
        <v>14</v>
      </c>
      <c r="H29" s="14">
        <v>8500</v>
      </c>
      <c r="I29" s="14">
        <v>119000</v>
      </c>
      <c r="J29" s="16" t="s">
        <v>19</v>
      </c>
      <c r="K29" s="16" t="s">
        <v>20</v>
      </c>
      <c r="L29" s="16" t="s">
        <v>37</v>
      </c>
      <c r="M29" s="14">
        <v>5</v>
      </c>
    </row>
    <row r="30" spans="1:13" x14ac:dyDescent="0.35">
      <c r="A30" s="16" t="s">
        <v>121</v>
      </c>
      <c r="B30" s="16" t="s">
        <v>71</v>
      </c>
      <c r="C30" s="16" t="s">
        <v>15</v>
      </c>
      <c r="D30" s="16" t="s">
        <v>25</v>
      </c>
      <c r="E30" s="16" t="s">
        <v>17</v>
      </c>
      <c r="F30" s="16" t="s">
        <v>122</v>
      </c>
      <c r="G30" s="14">
        <v>6</v>
      </c>
      <c r="H30" s="14">
        <v>45000</v>
      </c>
      <c r="I30" s="14">
        <v>270000</v>
      </c>
      <c r="J30" s="16" t="s">
        <v>28</v>
      </c>
      <c r="K30" s="16" t="s">
        <v>36</v>
      </c>
      <c r="L30" s="16" t="s">
        <v>21</v>
      </c>
      <c r="M30" s="14">
        <v>0</v>
      </c>
    </row>
    <row r="31" spans="1:13" x14ac:dyDescent="0.35">
      <c r="A31" s="16" t="s">
        <v>123</v>
      </c>
      <c r="B31" s="16" t="s">
        <v>50</v>
      </c>
      <c r="C31" s="16" t="s">
        <v>15</v>
      </c>
      <c r="D31" s="16" t="s">
        <v>34</v>
      </c>
      <c r="E31" s="16" t="s">
        <v>26</v>
      </c>
      <c r="F31" s="16" t="s">
        <v>124</v>
      </c>
      <c r="G31" s="14">
        <v>0</v>
      </c>
      <c r="H31" s="14">
        <v>12000</v>
      </c>
      <c r="I31" s="14">
        <v>0</v>
      </c>
      <c r="J31" s="16" t="s">
        <v>19</v>
      </c>
      <c r="K31" s="16" t="s">
        <v>20</v>
      </c>
      <c r="L31" s="16" t="s">
        <v>21</v>
      </c>
      <c r="M31" s="14">
        <v>15</v>
      </c>
    </row>
    <row r="32" spans="1:13" x14ac:dyDescent="0.35">
      <c r="A32" s="16" t="s">
        <v>125</v>
      </c>
      <c r="B32" s="16" t="s">
        <v>96</v>
      </c>
      <c r="C32" s="16" t="s">
        <v>15</v>
      </c>
      <c r="D32" s="16" t="s">
        <v>16</v>
      </c>
      <c r="E32" s="16" t="s">
        <v>41</v>
      </c>
      <c r="F32" s="16" t="s">
        <v>126</v>
      </c>
      <c r="G32" s="14">
        <v>5</v>
      </c>
      <c r="H32" s="14">
        <v>95000</v>
      </c>
      <c r="I32" s="14">
        <v>475000</v>
      </c>
      <c r="J32" s="16" t="s">
        <v>19</v>
      </c>
      <c r="K32" s="16" t="s">
        <v>29</v>
      </c>
      <c r="L32" s="16" t="s">
        <v>21</v>
      </c>
      <c r="M32" s="14">
        <v>0</v>
      </c>
    </row>
    <row r="33" spans="1:13" x14ac:dyDescent="0.35">
      <c r="A33" s="16" t="s">
        <v>127</v>
      </c>
      <c r="B33" s="16" t="s">
        <v>59</v>
      </c>
      <c r="C33" s="16" t="s">
        <v>65</v>
      </c>
      <c r="D33" s="16" t="s">
        <v>25</v>
      </c>
      <c r="E33" s="16" t="s">
        <v>61</v>
      </c>
      <c r="F33" s="16" t="s">
        <v>129</v>
      </c>
      <c r="G33" s="14">
        <v>30</v>
      </c>
      <c r="H33" s="14">
        <v>8500</v>
      </c>
      <c r="I33" s="14">
        <v>255000</v>
      </c>
      <c r="J33" s="16" t="s">
        <v>28</v>
      </c>
      <c r="K33" s="16" t="s">
        <v>20</v>
      </c>
      <c r="L33" s="16" t="s">
        <v>21</v>
      </c>
      <c r="M33" s="14">
        <v>10</v>
      </c>
    </row>
    <row r="34" spans="1:13" x14ac:dyDescent="0.35">
      <c r="A34" s="16" t="s">
        <v>130</v>
      </c>
      <c r="B34" s="16" t="s">
        <v>64</v>
      </c>
      <c r="C34" s="16" t="s">
        <v>15</v>
      </c>
      <c r="D34" s="16" t="s">
        <v>34</v>
      </c>
      <c r="E34" s="16" t="s">
        <v>17</v>
      </c>
      <c r="F34" s="16" t="s">
        <v>131</v>
      </c>
      <c r="G34" s="14">
        <v>0</v>
      </c>
      <c r="H34" s="14">
        <v>85000</v>
      </c>
      <c r="I34" s="14">
        <v>0</v>
      </c>
      <c r="J34" s="16" t="s">
        <v>19</v>
      </c>
      <c r="K34" s="16" t="s">
        <v>36</v>
      </c>
      <c r="L34" s="16" t="s">
        <v>37</v>
      </c>
      <c r="M34" s="14">
        <v>0</v>
      </c>
    </row>
    <row r="35" spans="1:13" x14ac:dyDescent="0.35">
      <c r="A35" s="16" t="s">
        <v>133</v>
      </c>
      <c r="B35" s="16" t="s">
        <v>39</v>
      </c>
      <c r="C35" s="16" t="s">
        <v>15</v>
      </c>
      <c r="D35" s="16" t="s">
        <v>40</v>
      </c>
      <c r="E35" s="16" t="s">
        <v>26</v>
      </c>
      <c r="F35" s="16" t="s">
        <v>134</v>
      </c>
      <c r="G35" s="14">
        <v>7</v>
      </c>
      <c r="H35" s="14">
        <v>12000</v>
      </c>
      <c r="I35" s="14">
        <v>84000</v>
      </c>
      <c r="J35" s="16" t="s">
        <v>28</v>
      </c>
      <c r="K35" s="16" t="s">
        <v>29</v>
      </c>
      <c r="L35" s="16" t="s">
        <v>21</v>
      </c>
      <c r="M35" s="14">
        <v>5</v>
      </c>
    </row>
    <row r="36" spans="1:13" x14ac:dyDescent="0.35">
      <c r="A36" s="16" t="s">
        <v>135</v>
      </c>
      <c r="B36" s="16" t="s">
        <v>71</v>
      </c>
      <c r="C36" s="16" t="s">
        <v>15</v>
      </c>
      <c r="D36" s="16" t="s">
        <v>25</v>
      </c>
      <c r="E36" s="16" t="s">
        <v>41</v>
      </c>
      <c r="F36" s="16" t="s">
        <v>136</v>
      </c>
      <c r="G36" s="14">
        <v>3</v>
      </c>
      <c r="H36" s="14">
        <v>95000</v>
      </c>
      <c r="I36" s="14">
        <v>285000</v>
      </c>
      <c r="J36" s="16" t="s">
        <v>19</v>
      </c>
      <c r="K36" s="16" t="s">
        <v>20</v>
      </c>
      <c r="L36" s="16" t="s">
        <v>91</v>
      </c>
      <c r="M36" s="14">
        <v>0</v>
      </c>
    </row>
    <row r="37" spans="1:13" x14ac:dyDescent="0.35">
      <c r="A37" s="16" t="s">
        <v>137</v>
      </c>
      <c r="B37" s="16" t="s">
        <v>50</v>
      </c>
      <c r="C37" s="16" t="s">
        <v>15</v>
      </c>
      <c r="D37" s="16" t="s">
        <v>34</v>
      </c>
      <c r="E37" s="16" t="s">
        <v>61</v>
      </c>
      <c r="F37" s="16" t="s">
        <v>138</v>
      </c>
      <c r="G37" s="14">
        <v>22</v>
      </c>
      <c r="H37" s="14">
        <v>8500</v>
      </c>
      <c r="I37" s="14">
        <v>187000</v>
      </c>
      <c r="J37" s="16" t="s">
        <v>19</v>
      </c>
      <c r="K37" s="16" t="s">
        <v>36</v>
      </c>
      <c r="L37" s="16" t="s">
        <v>21</v>
      </c>
      <c r="M37" s="14">
        <v>20</v>
      </c>
    </row>
    <row r="38" spans="1:13" x14ac:dyDescent="0.35">
      <c r="A38" s="16" t="s">
        <v>139</v>
      </c>
      <c r="B38" s="16" t="s">
        <v>96</v>
      </c>
      <c r="C38" s="16" t="s">
        <v>15</v>
      </c>
      <c r="D38" s="16" t="s">
        <v>16</v>
      </c>
      <c r="E38" s="16" t="s">
        <v>17</v>
      </c>
      <c r="F38" s="16" t="s">
        <v>140</v>
      </c>
      <c r="G38" s="14">
        <v>-1</v>
      </c>
      <c r="H38" s="14">
        <v>45000</v>
      </c>
      <c r="I38" s="14">
        <v>-45000</v>
      </c>
      <c r="J38" s="16" t="s">
        <v>28</v>
      </c>
      <c r="K38" s="16" t="s">
        <v>20</v>
      </c>
      <c r="L38" s="16" t="s">
        <v>21</v>
      </c>
      <c r="M38" s="14">
        <v>0</v>
      </c>
    </row>
    <row r="39" spans="1:13" x14ac:dyDescent="0.35">
      <c r="A39" s="16" t="s">
        <v>141</v>
      </c>
      <c r="B39" s="16" t="s">
        <v>59</v>
      </c>
      <c r="C39" s="16" t="s">
        <v>15</v>
      </c>
      <c r="D39" s="16" t="s">
        <v>25</v>
      </c>
      <c r="E39" s="16" t="s">
        <v>26</v>
      </c>
      <c r="F39" s="16" t="s">
        <v>143</v>
      </c>
      <c r="G39" s="14">
        <v>9</v>
      </c>
      <c r="H39" s="14">
        <v>12000</v>
      </c>
      <c r="I39" s="14">
        <v>108000</v>
      </c>
      <c r="J39" s="16" t="s">
        <v>19</v>
      </c>
      <c r="K39" s="16" t="s">
        <v>29</v>
      </c>
      <c r="L39" s="16" t="s">
        <v>21</v>
      </c>
      <c r="M39" s="14">
        <v>0</v>
      </c>
    </row>
    <row r="40" spans="1:13" x14ac:dyDescent="0.35">
      <c r="A40" s="16" t="s">
        <v>144</v>
      </c>
      <c r="B40" s="16" t="s">
        <v>64</v>
      </c>
      <c r="C40" s="16" t="s">
        <v>65</v>
      </c>
      <c r="D40" s="16" t="s">
        <v>34</v>
      </c>
      <c r="E40" s="16" t="s">
        <v>41</v>
      </c>
      <c r="F40" s="16" t="s">
        <v>146</v>
      </c>
      <c r="G40" s="14">
        <v>0</v>
      </c>
      <c r="H40" s="14">
        <v>95000</v>
      </c>
      <c r="I40" s="14">
        <v>0</v>
      </c>
      <c r="J40" s="16" t="s">
        <v>19</v>
      </c>
      <c r="K40" s="16" t="s">
        <v>36</v>
      </c>
      <c r="L40" s="16" t="s">
        <v>21</v>
      </c>
      <c r="M40" s="14">
        <v>10</v>
      </c>
    </row>
    <row r="41" spans="1:13" x14ac:dyDescent="0.35">
      <c r="A41" s="16" t="s">
        <v>147</v>
      </c>
      <c r="B41" s="16" t="s">
        <v>39</v>
      </c>
      <c r="C41" s="16" t="s">
        <v>65</v>
      </c>
      <c r="D41" s="16" t="s">
        <v>40</v>
      </c>
      <c r="E41" s="16" t="s">
        <v>61</v>
      </c>
      <c r="F41" s="16" t="s">
        <v>148</v>
      </c>
      <c r="G41" s="14">
        <v>16</v>
      </c>
      <c r="H41" s="14">
        <v>8500</v>
      </c>
      <c r="I41" s="14">
        <v>136000</v>
      </c>
      <c r="J41" s="16" t="s">
        <v>28</v>
      </c>
      <c r="K41" s="16" t="s">
        <v>20</v>
      </c>
      <c r="L41" s="16" t="s">
        <v>21</v>
      </c>
      <c r="M41" s="14">
        <v>5</v>
      </c>
    </row>
    <row r="42" spans="1:13" x14ac:dyDescent="0.35">
      <c r="A42" s="16" t="s">
        <v>149</v>
      </c>
      <c r="B42" s="16" t="s">
        <v>71</v>
      </c>
      <c r="C42" s="16" t="s">
        <v>15</v>
      </c>
      <c r="D42" s="16" t="s">
        <v>25</v>
      </c>
      <c r="E42" s="16" t="s">
        <v>17</v>
      </c>
      <c r="F42" s="16" t="s">
        <v>150</v>
      </c>
      <c r="G42" s="14">
        <v>4</v>
      </c>
      <c r="H42" s="14">
        <v>85000</v>
      </c>
      <c r="I42" s="14">
        <v>340000</v>
      </c>
      <c r="J42" s="16" t="s">
        <v>19</v>
      </c>
      <c r="K42" s="16" t="s">
        <v>36</v>
      </c>
      <c r="L42" s="16" t="s">
        <v>37</v>
      </c>
      <c r="M42" s="14" t="s">
        <v>151</v>
      </c>
    </row>
    <row r="43" spans="1:13" x14ac:dyDescent="0.35">
      <c r="A43" s="16" t="s">
        <v>152</v>
      </c>
      <c r="B43" s="16" t="s">
        <v>50</v>
      </c>
      <c r="C43" s="16" t="s">
        <v>15</v>
      </c>
      <c r="D43" s="16" t="s">
        <v>34</v>
      </c>
      <c r="E43" s="16" t="s">
        <v>26</v>
      </c>
      <c r="F43" s="16" t="s">
        <v>154</v>
      </c>
      <c r="G43" s="14">
        <v>13</v>
      </c>
      <c r="H43" s="14">
        <v>12000</v>
      </c>
      <c r="I43" s="14">
        <v>156000</v>
      </c>
      <c r="J43" s="16" t="s">
        <v>19</v>
      </c>
      <c r="K43" s="16" t="s">
        <v>29</v>
      </c>
      <c r="L43" s="16" t="s">
        <v>21</v>
      </c>
      <c r="M43" s="14">
        <v>0</v>
      </c>
    </row>
    <row r="44" spans="1:13" x14ac:dyDescent="0.35">
      <c r="A44" s="16" t="s">
        <v>155</v>
      </c>
      <c r="B44" s="16" t="s">
        <v>96</v>
      </c>
      <c r="C44" s="16" t="s">
        <v>15</v>
      </c>
      <c r="D44" s="16" t="s">
        <v>16</v>
      </c>
      <c r="E44" s="16" t="s">
        <v>41</v>
      </c>
      <c r="F44" s="16" t="s">
        <v>157</v>
      </c>
      <c r="G44" s="14">
        <v>0</v>
      </c>
      <c r="H44" s="14">
        <v>95000</v>
      </c>
      <c r="I44" s="14">
        <v>0</v>
      </c>
      <c r="J44" s="16" t="s">
        <v>28</v>
      </c>
      <c r="K44" s="16" t="s">
        <v>20</v>
      </c>
      <c r="L44" s="16" t="s">
        <v>21</v>
      </c>
      <c r="M44" s="14">
        <v>15</v>
      </c>
    </row>
    <row r="45" spans="1:13" x14ac:dyDescent="0.35">
      <c r="A45" s="16" t="s">
        <v>158</v>
      </c>
      <c r="B45" s="16" t="s">
        <v>59</v>
      </c>
      <c r="C45" s="16" t="s">
        <v>15</v>
      </c>
      <c r="D45" s="16" t="s">
        <v>25</v>
      </c>
      <c r="E45" s="16" t="s">
        <v>61</v>
      </c>
      <c r="F45" s="16" t="s">
        <v>159</v>
      </c>
      <c r="G45" s="14">
        <v>28</v>
      </c>
      <c r="H45" s="14">
        <v>8500</v>
      </c>
      <c r="I45" s="14">
        <v>238000</v>
      </c>
      <c r="J45" s="16" t="s">
        <v>19</v>
      </c>
      <c r="K45" s="16" t="s">
        <v>20</v>
      </c>
      <c r="L45" s="16" t="s">
        <v>21</v>
      </c>
      <c r="M45" s="14">
        <v>0</v>
      </c>
    </row>
    <row r="46" spans="1:13" x14ac:dyDescent="0.35">
      <c r="A46" s="16" t="s">
        <v>160</v>
      </c>
      <c r="B46" s="16" t="s">
        <v>64</v>
      </c>
      <c r="C46" s="16" t="s">
        <v>15</v>
      </c>
      <c r="D46" s="16" t="s">
        <v>34</v>
      </c>
      <c r="E46" s="16" t="s">
        <v>17</v>
      </c>
      <c r="F46" s="16" t="s">
        <v>161</v>
      </c>
      <c r="G46" s="14">
        <v>0</v>
      </c>
      <c r="H46" s="14">
        <v>45000</v>
      </c>
      <c r="I46" s="14">
        <v>0</v>
      </c>
      <c r="J46" s="16" t="s">
        <v>19</v>
      </c>
      <c r="K46" s="16" t="s">
        <v>36</v>
      </c>
      <c r="L46" s="16" t="s">
        <v>91</v>
      </c>
      <c r="M46" s="14" t="s">
        <v>151</v>
      </c>
    </row>
    <row r="47" spans="1:13" x14ac:dyDescent="0.35">
      <c r="A47" s="16" t="s">
        <v>162</v>
      </c>
      <c r="B47" s="16" t="s">
        <v>39</v>
      </c>
      <c r="C47" s="16" t="s">
        <v>15</v>
      </c>
      <c r="D47" s="16" t="s">
        <v>40</v>
      </c>
      <c r="E47" s="16" t="s">
        <v>26</v>
      </c>
      <c r="F47" s="16" t="s">
        <v>164</v>
      </c>
      <c r="G47" s="14">
        <v>6</v>
      </c>
      <c r="H47" s="14">
        <v>12000</v>
      </c>
      <c r="I47" s="14">
        <v>72000</v>
      </c>
      <c r="J47" s="16" t="s">
        <v>28</v>
      </c>
      <c r="K47" s="16" t="s">
        <v>20</v>
      </c>
      <c r="L47" s="16" t="s">
        <v>21</v>
      </c>
      <c r="M47" s="14">
        <v>5</v>
      </c>
    </row>
    <row r="48" spans="1:13" x14ac:dyDescent="0.35">
      <c r="A48" s="16" t="s">
        <v>165</v>
      </c>
      <c r="B48" s="16" t="s">
        <v>71</v>
      </c>
      <c r="C48" s="16" t="s">
        <v>65</v>
      </c>
      <c r="D48" s="16" t="s">
        <v>25</v>
      </c>
      <c r="E48" s="16" t="s">
        <v>41</v>
      </c>
      <c r="F48" s="16" t="s">
        <v>166</v>
      </c>
      <c r="G48" s="14">
        <v>2</v>
      </c>
      <c r="H48" s="14">
        <v>95000</v>
      </c>
      <c r="I48" s="14">
        <v>190000</v>
      </c>
      <c r="J48" s="16" t="s">
        <v>19</v>
      </c>
      <c r="K48" s="16" t="s">
        <v>29</v>
      </c>
      <c r="L48" s="16" t="s">
        <v>21</v>
      </c>
      <c r="M48" s="14">
        <v>0</v>
      </c>
    </row>
    <row r="49" spans="1:13" x14ac:dyDescent="0.35">
      <c r="A49" s="16" t="s">
        <v>167</v>
      </c>
      <c r="B49" s="16" t="s">
        <v>50</v>
      </c>
      <c r="C49" s="16" t="s">
        <v>15</v>
      </c>
      <c r="D49" s="16" t="s">
        <v>34</v>
      </c>
      <c r="E49" s="16" t="s">
        <v>61</v>
      </c>
      <c r="F49" s="16" t="s">
        <v>168</v>
      </c>
      <c r="G49" s="14">
        <v>35</v>
      </c>
      <c r="H49" s="14">
        <v>8500</v>
      </c>
      <c r="I49" s="14">
        <v>297500</v>
      </c>
      <c r="J49" s="16" t="s">
        <v>19</v>
      </c>
      <c r="K49" s="16" t="s">
        <v>36</v>
      </c>
      <c r="L49" s="16" t="s">
        <v>21</v>
      </c>
      <c r="M49" s="14">
        <v>25</v>
      </c>
    </row>
    <row r="50" spans="1:13" x14ac:dyDescent="0.35">
      <c r="A50" s="16" t="s">
        <v>169</v>
      </c>
      <c r="B50" s="16" t="s">
        <v>96</v>
      </c>
      <c r="C50" s="16" t="s">
        <v>15</v>
      </c>
      <c r="D50" s="16" t="s">
        <v>16</v>
      </c>
      <c r="E50" s="16" t="s">
        <v>17</v>
      </c>
      <c r="F50" s="16" t="s">
        <v>171</v>
      </c>
      <c r="G50" s="14">
        <v>-3</v>
      </c>
      <c r="H50" s="14">
        <v>85000</v>
      </c>
      <c r="I50" s="14">
        <v>-255000</v>
      </c>
      <c r="J50" s="16" t="s">
        <v>28</v>
      </c>
      <c r="K50" s="16" t="s">
        <v>20</v>
      </c>
      <c r="L50" s="16" t="s">
        <v>21</v>
      </c>
      <c r="M50" s="14">
        <v>0</v>
      </c>
    </row>
    <row r="51" spans="1:13" x14ac:dyDescent="0.35">
      <c r="A51" s="16" t="s">
        <v>172</v>
      </c>
      <c r="B51" s="16" t="s">
        <v>59</v>
      </c>
      <c r="C51" s="16" t="s">
        <v>15</v>
      </c>
      <c r="D51" s="16" t="s">
        <v>25</v>
      </c>
      <c r="E51" s="16" t="s">
        <v>26</v>
      </c>
      <c r="F51" s="16" t="s">
        <v>173</v>
      </c>
      <c r="G51" s="14">
        <v>11</v>
      </c>
      <c r="H51" s="14">
        <v>12000</v>
      </c>
      <c r="I51" s="14">
        <v>132000</v>
      </c>
      <c r="J51" s="16" t="s">
        <v>19</v>
      </c>
      <c r="K51" s="16" t="s">
        <v>36</v>
      </c>
      <c r="L51" s="16" t="s">
        <v>37</v>
      </c>
      <c r="M51" s="14">
        <v>10</v>
      </c>
    </row>
    <row r="52" spans="1:13" x14ac:dyDescent="0.35">
      <c r="A52" s="16" t="s">
        <v>174</v>
      </c>
      <c r="B52" s="16" t="s">
        <v>64</v>
      </c>
      <c r="C52" s="16" t="s">
        <v>65</v>
      </c>
      <c r="D52" s="16" t="s">
        <v>34</v>
      </c>
      <c r="E52" s="16" t="s">
        <v>41</v>
      </c>
      <c r="F52" s="16" t="s">
        <v>175</v>
      </c>
      <c r="G52" s="14">
        <v>0</v>
      </c>
      <c r="H52" s="14">
        <v>95000</v>
      </c>
      <c r="I52" s="14">
        <v>0</v>
      </c>
      <c r="J52" s="16" t="s">
        <v>19</v>
      </c>
      <c r="K52" s="16" t="s">
        <v>29</v>
      </c>
      <c r="L52" s="16" t="s">
        <v>21</v>
      </c>
      <c r="M52" s="14">
        <v>0</v>
      </c>
    </row>
    <row r="53" spans="1:13" x14ac:dyDescent="0.35">
      <c r="A53" s="16" t="s">
        <v>176</v>
      </c>
      <c r="B53" s="16" t="s">
        <v>39</v>
      </c>
      <c r="C53" s="16" t="s">
        <v>15</v>
      </c>
      <c r="D53" s="16" t="s">
        <v>40</v>
      </c>
      <c r="E53" s="16" t="s">
        <v>61</v>
      </c>
      <c r="F53" s="16" t="s">
        <v>177</v>
      </c>
      <c r="G53" s="14">
        <v>19</v>
      </c>
      <c r="H53" s="14">
        <v>8500</v>
      </c>
      <c r="I53" s="14">
        <v>161500</v>
      </c>
      <c r="J53" s="16" t="s">
        <v>28</v>
      </c>
      <c r="K53" s="16" t="s">
        <v>20</v>
      </c>
      <c r="L53" s="16" t="s">
        <v>21</v>
      </c>
      <c r="M53" s="14">
        <v>5</v>
      </c>
    </row>
    <row r="54" spans="1:13" x14ac:dyDescent="0.35">
      <c r="A54" s="16" t="s">
        <v>178</v>
      </c>
      <c r="B54" s="16" t="s">
        <v>71</v>
      </c>
      <c r="C54" s="16" t="s">
        <v>15</v>
      </c>
      <c r="D54" s="16" t="s">
        <v>25</v>
      </c>
      <c r="E54" s="16" t="s">
        <v>17</v>
      </c>
      <c r="F54" s="16" t="s">
        <v>180</v>
      </c>
      <c r="G54" s="14">
        <v>7</v>
      </c>
      <c r="H54" s="14">
        <v>45000</v>
      </c>
      <c r="I54" s="14">
        <v>315000</v>
      </c>
      <c r="J54" s="16" t="s">
        <v>19</v>
      </c>
      <c r="K54" s="16" t="s">
        <v>36</v>
      </c>
      <c r="L54" s="16" t="s">
        <v>53</v>
      </c>
      <c r="M54" s="14">
        <v>0</v>
      </c>
    </row>
    <row r="55" spans="1:13" x14ac:dyDescent="0.35">
      <c r="A55" s="16" t="s">
        <v>181</v>
      </c>
      <c r="B55" s="16" t="s">
        <v>50</v>
      </c>
      <c r="C55" s="16" t="s">
        <v>15</v>
      </c>
      <c r="D55" s="16" t="s">
        <v>34</v>
      </c>
      <c r="E55" s="16" t="s">
        <v>26</v>
      </c>
      <c r="F55" s="16" t="s">
        <v>182</v>
      </c>
      <c r="G55" s="14">
        <v>14</v>
      </c>
      <c r="H55" s="14">
        <v>12000</v>
      </c>
      <c r="I55" s="14">
        <v>168000</v>
      </c>
      <c r="J55" s="16" t="s">
        <v>19</v>
      </c>
      <c r="K55" s="16" t="s">
        <v>20</v>
      </c>
      <c r="L55" s="16" t="s">
        <v>21</v>
      </c>
      <c r="M55" s="14">
        <v>15</v>
      </c>
    </row>
    <row r="56" spans="1:13" x14ac:dyDescent="0.35">
      <c r="A56" s="16" t="s">
        <v>183</v>
      </c>
      <c r="B56" s="16" t="s">
        <v>96</v>
      </c>
      <c r="C56" s="16" t="s">
        <v>15</v>
      </c>
      <c r="D56" s="16" t="s">
        <v>16</v>
      </c>
      <c r="E56" s="16" t="s">
        <v>41</v>
      </c>
      <c r="F56" s="16" t="s">
        <v>184</v>
      </c>
      <c r="G56" s="14">
        <v>0</v>
      </c>
      <c r="H56" s="14">
        <v>95000</v>
      </c>
      <c r="I56" s="14">
        <v>0</v>
      </c>
      <c r="J56" s="16" t="s">
        <v>28</v>
      </c>
      <c r="K56" s="16" t="s">
        <v>29</v>
      </c>
      <c r="L56" s="16" t="s">
        <v>21</v>
      </c>
      <c r="M56" s="14">
        <v>0</v>
      </c>
    </row>
    <row r="57" spans="1:13" x14ac:dyDescent="0.35">
      <c r="A57" s="16" t="s">
        <v>185</v>
      </c>
      <c r="B57" s="16" t="s">
        <v>59</v>
      </c>
      <c r="C57" s="16" t="s">
        <v>15</v>
      </c>
      <c r="D57" s="16" t="s">
        <v>25</v>
      </c>
      <c r="E57" s="16" t="s">
        <v>61</v>
      </c>
      <c r="F57" s="16" t="s">
        <v>186</v>
      </c>
      <c r="G57" s="14">
        <v>24</v>
      </c>
      <c r="H57" s="14">
        <v>8500</v>
      </c>
      <c r="I57" s="14">
        <v>204000</v>
      </c>
      <c r="J57" s="16" t="s">
        <v>19</v>
      </c>
      <c r="K57" s="16" t="s">
        <v>20</v>
      </c>
      <c r="L57" s="16" t="s">
        <v>21</v>
      </c>
      <c r="M57" s="14">
        <v>20</v>
      </c>
    </row>
    <row r="58" spans="1:13" x14ac:dyDescent="0.35">
      <c r="A58" s="16" t="s">
        <v>187</v>
      </c>
      <c r="B58" s="16" t="s">
        <v>64</v>
      </c>
      <c r="C58" s="16" t="s">
        <v>65</v>
      </c>
      <c r="D58" s="16" t="s">
        <v>34</v>
      </c>
      <c r="E58" s="16" t="s">
        <v>17</v>
      </c>
      <c r="F58" s="16" t="s">
        <v>189</v>
      </c>
      <c r="G58" s="14">
        <v>0</v>
      </c>
      <c r="H58" s="14">
        <v>85000</v>
      </c>
      <c r="I58" s="14">
        <v>0</v>
      </c>
      <c r="J58" s="16" t="s">
        <v>19</v>
      </c>
      <c r="K58" s="16" t="s">
        <v>36</v>
      </c>
      <c r="L58" s="16" t="s">
        <v>37</v>
      </c>
      <c r="M58" s="14" t="s">
        <v>151</v>
      </c>
    </row>
    <row r="59" spans="1:13" x14ac:dyDescent="0.35">
      <c r="A59" s="16" t="s">
        <v>190</v>
      </c>
      <c r="B59" s="16" t="s">
        <v>39</v>
      </c>
      <c r="C59" s="16" t="s">
        <v>15</v>
      </c>
      <c r="D59" s="16" t="s">
        <v>40</v>
      </c>
      <c r="E59" s="16" t="s">
        <v>26</v>
      </c>
      <c r="F59" s="16" t="s">
        <v>191</v>
      </c>
      <c r="G59" s="14">
        <v>5</v>
      </c>
      <c r="H59" s="14">
        <v>12000</v>
      </c>
      <c r="I59" s="14">
        <v>60000</v>
      </c>
      <c r="J59" s="16" t="s">
        <v>28</v>
      </c>
      <c r="K59" s="16" t="s">
        <v>20</v>
      </c>
      <c r="L59" s="16" t="s">
        <v>21</v>
      </c>
      <c r="M59" s="14">
        <v>5</v>
      </c>
    </row>
    <row r="60" spans="1:13" x14ac:dyDescent="0.35">
      <c r="A60" s="16" t="s">
        <v>192</v>
      </c>
      <c r="B60" s="16" t="s">
        <v>71</v>
      </c>
      <c r="C60" s="16" t="s">
        <v>15</v>
      </c>
      <c r="D60" s="16" t="s">
        <v>25</v>
      </c>
      <c r="E60" s="16" t="s">
        <v>41</v>
      </c>
      <c r="F60" s="16" t="s">
        <v>193</v>
      </c>
      <c r="G60" s="14">
        <v>3</v>
      </c>
      <c r="H60" s="14">
        <v>95000</v>
      </c>
      <c r="I60" s="14">
        <v>285000</v>
      </c>
      <c r="J60" s="16" t="s">
        <v>19</v>
      </c>
      <c r="K60" s="16" t="s">
        <v>29</v>
      </c>
      <c r="L60" s="16" t="s">
        <v>21</v>
      </c>
      <c r="M60" s="14">
        <v>0</v>
      </c>
    </row>
    <row r="61" spans="1:13" x14ac:dyDescent="0.35">
      <c r="A61" s="16" t="s">
        <v>194</v>
      </c>
      <c r="B61" s="16" t="s">
        <v>50</v>
      </c>
      <c r="C61" s="16" t="s">
        <v>15</v>
      </c>
      <c r="D61" s="16" t="s">
        <v>34</v>
      </c>
      <c r="E61" s="16" t="s">
        <v>61</v>
      </c>
      <c r="F61" s="16" t="s">
        <v>195</v>
      </c>
      <c r="G61" s="14">
        <v>40</v>
      </c>
      <c r="H61" s="14">
        <v>8500</v>
      </c>
      <c r="I61" s="14">
        <v>340000</v>
      </c>
      <c r="J61" s="16" t="s">
        <v>28</v>
      </c>
      <c r="K61" s="16" t="s">
        <v>36</v>
      </c>
      <c r="L61" s="16" t="s">
        <v>21</v>
      </c>
      <c r="M61" s="14">
        <v>30</v>
      </c>
    </row>
    <row r="62" spans="1:13" x14ac:dyDescent="0.35">
      <c r="A62" s="16" t="s">
        <v>196</v>
      </c>
      <c r="B62" s="16" t="s">
        <v>96</v>
      </c>
      <c r="C62" s="16" t="s">
        <v>15</v>
      </c>
      <c r="D62" s="16" t="s">
        <v>16</v>
      </c>
      <c r="E62" s="16" t="s">
        <v>17</v>
      </c>
      <c r="F62" s="16" t="s">
        <v>197</v>
      </c>
      <c r="G62" s="14">
        <v>-5</v>
      </c>
      <c r="H62" s="14">
        <v>45000</v>
      </c>
      <c r="I62" s="14">
        <v>-225000</v>
      </c>
      <c r="J62" s="16" t="s">
        <v>19</v>
      </c>
      <c r="K62" s="16" t="s">
        <v>20</v>
      </c>
      <c r="L62" s="16" t="s">
        <v>21</v>
      </c>
      <c r="M62" s="14">
        <v>0</v>
      </c>
    </row>
    <row r="63" spans="1:13" x14ac:dyDescent="0.35">
      <c r="A63" s="16" t="s">
        <v>198</v>
      </c>
      <c r="B63" s="16" t="s">
        <v>59</v>
      </c>
      <c r="C63" s="16" t="s">
        <v>15</v>
      </c>
      <c r="D63" s="16" t="s">
        <v>25</v>
      </c>
      <c r="E63" s="16" t="s">
        <v>26</v>
      </c>
      <c r="F63" s="16" t="s">
        <v>200</v>
      </c>
      <c r="G63" s="14">
        <v>0</v>
      </c>
      <c r="H63" s="14">
        <v>12000</v>
      </c>
      <c r="I63" s="14">
        <v>0</v>
      </c>
      <c r="J63" s="16" t="s">
        <v>19</v>
      </c>
      <c r="K63" s="16" t="s">
        <v>29</v>
      </c>
      <c r="L63" s="16" t="s">
        <v>37</v>
      </c>
      <c r="M63" s="14">
        <v>10</v>
      </c>
    </row>
    <row r="64" spans="1:13" x14ac:dyDescent="0.35">
      <c r="A64" s="16" t="s">
        <v>202</v>
      </c>
      <c r="B64" s="16" t="s">
        <v>64</v>
      </c>
      <c r="C64" s="16" t="s">
        <v>65</v>
      </c>
      <c r="D64" s="16" t="s">
        <v>34</v>
      </c>
      <c r="E64" s="16" t="s">
        <v>41</v>
      </c>
      <c r="F64" s="16" t="s">
        <v>203</v>
      </c>
      <c r="G64" s="14">
        <v>8</v>
      </c>
      <c r="H64" s="14">
        <v>95000</v>
      </c>
      <c r="I64" s="14">
        <v>760000</v>
      </c>
      <c r="J64" s="16" t="s">
        <v>28</v>
      </c>
      <c r="K64" s="16" t="s">
        <v>20</v>
      </c>
      <c r="L64" s="16" t="s">
        <v>91</v>
      </c>
      <c r="M64" s="14">
        <v>0</v>
      </c>
    </row>
    <row r="65" spans="1:13" x14ac:dyDescent="0.35">
      <c r="A65" s="16" t="s">
        <v>205</v>
      </c>
      <c r="B65" s="16" t="s">
        <v>39</v>
      </c>
      <c r="C65" s="16" t="s">
        <v>15</v>
      </c>
      <c r="D65" s="16" t="s">
        <v>40</v>
      </c>
      <c r="E65" s="16" t="s">
        <v>61</v>
      </c>
      <c r="F65" s="16" t="s">
        <v>206</v>
      </c>
      <c r="G65" s="14">
        <v>13</v>
      </c>
      <c r="H65" s="14">
        <v>8500</v>
      </c>
      <c r="I65" s="14">
        <v>110500</v>
      </c>
      <c r="J65" s="16" t="s">
        <v>19</v>
      </c>
      <c r="K65" s="16" t="s">
        <v>36</v>
      </c>
      <c r="L65" s="16" t="s">
        <v>21</v>
      </c>
      <c r="M65" s="14">
        <v>5</v>
      </c>
    </row>
    <row r="66" spans="1:13" x14ac:dyDescent="0.35">
      <c r="A66" s="16" t="s">
        <v>207</v>
      </c>
      <c r="B66" s="16" t="s">
        <v>71</v>
      </c>
      <c r="C66" s="16" t="s">
        <v>15</v>
      </c>
      <c r="D66" s="16" t="s">
        <v>25</v>
      </c>
      <c r="E66" s="16" t="s">
        <v>17</v>
      </c>
      <c r="F66" s="16" t="s">
        <v>208</v>
      </c>
      <c r="G66" s="14">
        <v>6</v>
      </c>
      <c r="H66" s="14">
        <v>85000</v>
      </c>
      <c r="I66" s="14">
        <v>510000</v>
      </c>
      <c r="J66" s="16" t="s">
        <v>19</v>
      </c>
      <c r="K66" s="16" t="s">
        <v>20</v>
      </c>
      <c r="L66" s="16" t="s">
        <v>21</v>
      </c>
      <c r="M66" s="14" t="s">
        <v>151</v>
      </c>
    </row>
    <row r="67" spans="1:13" x14ac:dyDescent="0.35">
      <c r="A67" s="16" t="s">
        <v>209</v>
      </c>
      <c r="B67" s="16" t="s">
        <v>50</v>
      </c>
      <c r="C67" s="16" t="s">
        <v>15</v>
      </c>
      <c r="D67" s="16" t="s">
        <v>34</v>
      </c>
      <c r="E67" s="16" t="s">
        <v>26</v>
      </c>
      <c r="F67" s="16" t="s">
        <v>210</v>
      </c>
      <c r="G67" s="14">
        <v>0</v>
      </c>
      <c r="H67" s="14">
        <v>12000</v>
      </c>
      <c r="I67" s="14">
        <v>0</v>
      </c>
      <c r="J67" s="16" t="s">
        <v>28</v>
      </c>
      <c r="K67" s="16" t="s">
        <v>20</v>
      </c>
      <c r="L67" s="16" t="s">
        <v>21</v>
      </c>
      <c r="M67" s="14">
        <v>15</v>
      </c>
    </row>
    <row r="68" spans="1:13" x14ac:dyDescent="0.35">
      <c r="A68" s="16" t="s">
        <v>211</v>
      </c>
      <c r="B68" s="16" t="s">
        <v>96</v>
      </c>
      <c r="C68" s="16" t="s">
        <v>15</v>
      </c>
      <c r="D68" s="16" t="s">
        <v>16</v>
      </c>
      <c r="E68" s="16" t="s">
        <v>41</v>
      </c>
      <c r="F68" s="16" t="s">
        <v>212</v>
      </c>
      <c r="G68" s="14">
        <v>4</v>
      </c>
      <c r="H68" s="14">
        <v>95000</v>
      </c>
      <c r="I68" s="14">
        <v>380000</v>
      </c>
      <c r="J68" s="16" t="s">
        <v>19</v>
      </c>
      <c r="K68" s="16" t="s">
        <v>29</v>
      </c>
      <c r="L68" s="16" t="s">
        <v>37</v>
      </c>
      <c r="M68" s="14">
        <v>0</v>
      </c>
    </row>
    <row r="69" spans="1:13" x14ac:dyDescent="0.35">
      <c r="A69" s="16" t="s">
        <v>213</v>
      </c>
      <c r="B69" s="16" t="s">
        <v>59</v>
      </c>
      <c r="C69" s="16" t="s">
        <v>65</v>
      </c>
      <c r="D69" s="16" t="s">
        <v>25</v>
      </c>
      <c r="E69" s="16" t="s">
        <v>61</v>
      </c>
      <c r="F69" s="16" t="s">
        <v>214</v>
      </c>
      <c r="G69" s="14">
        <v>17</v>
      </c>
      <c r="H69" s="14">
        <v>8500</v>
      </c>
      <c r="I69" s="14">
        <v>144500</v>
      </c>
      <c r="J69" s="16" t="s">
        <v>19</v>
      </c>
      <c r="K69" s="16" t="s">
        <v>36</v>
      </c>
      <c r="L69" s="16" t="s">
        <v>21</v>
      </c>
      <c r="M69" s="14">
        <v>10</v>
      </c>
    </row>
    <row r="70" spans="1:13" x14ac:dyDescent="0.35">
      <c r="A70" s="16" t="s">
        <v>215</v>
      </c>
      <c r="B70" s="16" t="s">
        <v>64</v>
      </c>
      <c r="C70" s="16" t="s">
        <v>15</v>
      </c>
      <c r="D70" s="16" t="s">
        <v>34</v>
      </c>
      <c r="E70" s="16" t="s">
        <v>17</v>
      </c>
      <c r="F70" s="16" t="s">
        <v>216</v>
      </c>
      <c r="G70" s="14">
        <v>0</v>
      </c>
      <c r="H70" s="14">
        <v>45000</v>
      </c>
      <c r="I70" s="14">
        <v>0</v>
      </c>
      <c r="J70" s="16" t="s">
        <v>28</v>
      </c>
      <c r="K70" s="16" t="s">
        <v>20</v>
      </c>
      <c r="L70" s="16" t="s">
        <v>21</v>
      </c>
      <c r="M70" s="14">
        <v>0</v>
      </c>
    </row>
    <row r="71" spans="1:13" x14ac:dyDescent="0.35">
      <c r="A71" s="16" t="s">
        <v>217</v>
      </c>
      <c r="B71" s="16" t="s">
        <v>39</v>
      </c>
      <c r="C71" s="16" t="s">
        <v>15</v>
      </c>
      <c r="D71" s="16" t="s">
        <v>40</v>
      </c>
      <c r="E71" s="16" t="s">
        <v>26</v>
      </c>
      <c r="F71" s="16" t="s">
        <v>218</v>
      </c>
      <c r="G71" s="14">
        <v>9</v>
      </c>
      <c r="H71" s="14">
        <v>12000</v>
      </c>
      <c r="I71" s="14">
        <v>108000</v>
      </c>
      <c r="J71" s="16" t="s">
        <v>19</v>
      </c>
      <c r="K71" s="16" t="s">
        <v>36</v>
      </c>
      <c r="L71" s="16" t="s">
        <v>53</v>
      </c>
      <c r="M71" s="14">
        <v>5</v>
      </c>
    </row>
    <row r="72" spans="1:13" x14ac:dyDescent="0.35">
      <c r="A72" s="16" t="s">
        <v>220</v>
      </c>
      <c r="B72" s="16" t="s">
        <v>71</v>
      </c>
      <c r="C72" s="16" t="s">
        <v>15</v>
      </c>
      <c r="D72" s="16" t="s">
        <v>25</v>
      </c>
      <c r="E72" s="16" t="s">
        <v>41</v>
      </c>
      <c r="F72" s="16" t="s">
        <v>222</v>
      </c>
      <c r="G72" s="14">
        <v>2</v>
      </c>
      <c r="H72" s="14">
        <v>95000</v>
      </c>
      <c r="I72" s="14">
        <v>190000</v>
      </c>
      <c r="J72" s="16" t="s">
        <v>19</v>
      </c>
      <c r="K72" s="16" t="s">
        <v>29</v>
      </c>
      <c r="L72" s="16" t="s">
        <v>21</v>
      </c>
      <c r="M72" s="14">
        <v>0</v>
      </c>
    </row>
    <row r="73" spans="1:13" x14ac:dyDescent="0.35">
      <c r="A73" s="16" t="s">
        <v>223</v>
      </c>
      <c r="B73" s="16" t="s">
        <v>50</v>
      </c>
      <c r="C73" s="16" t="s">
        <v>15</v>
      </c>
      <c r="D73" s="16" t="s">
        <v>34</v>
      </c>
      <c r="E73" s="16" t="s">
        <v>61</v>
      </c>
      <c r="F73" s="16" t="s">
        <v>224</v>
      </c>
      <c r="G73" s="14">
        <v>31</v>
      </c>
      <c r="H73" s="14">
        <v>8500</v>
      </c>
      <c r="I73" s="14">
        <v>263500</v>
      </c>
      <c r="J73" s="16" t="s">
        <v>28</v>
      </c>
      <c r="K73" s="16" t="s">
        <v>20</v>
      </c>
      <c r="L73" s="16" t="s">
        <v>21</v>
      </c>
      <c r="M73" s="14">
        <v>20</v>
      </c>
    </row>
    <row r="74" spans="1:13" x14ac:dyDescent="0.35">
      <c r="A74" s="16" t="s">
        <v>225</v>
      </c>
      <c r="B74" s="16" t="s">
        <v>96</v>
      </c>
      <c r="C74" s="16" t="s">
        <v>15</v>
      </c>
      <c r="D74" s="16" t="s">
        <v>16</v>
      </c>
      <c r="E74" s="16" t="s">
        <v>17</v>
      </c>
      <c r="F74" s="16" t="s">
        <v>226</v>
      </c>
      <c r="G74" s="14">
        <v>0</v>
      </c>
      <c r="H74" s="14">
        <v>85000</v>
      </c>
      <c r="I74" s="14">
        <v>0</v>
      </c>
      <c r="J74" s="16" t="s">
        <v>19</v>
      </c>
      <c r="K74" s="16" t="s">
        <v>36</v>
      </c>
      <c r="L74" s="16" t="s">
        <v>37</v>
      </c>
      <c r="M74" s="14" t="s">
        <v>151</v>
      </c>
    </row>
    <row r="75" spans="1:13" x14ac:dyDescent="0.35">
      <c r="A75" s="16" t="s">
        <v>227</v>
      </c>
      <c r="B75" s="16" t="s">
        <v>59</v>
      </c>
      <c r="C75" s="16" t="s">
        <v>65</v>
      </c>
      <c r="D75" s="16" t="s">
        <v>25</v>
      </c>
      <c r="E75" s="16" t="s">
        <v>26</v>
      </c>
      <c r="F75" s="16" t="s">
        <v>228</v>
      </c>
      <c r="G75" s="14">
        <v>12</v>
      </c>
      <c r="H75" s="14">
        <v>12000</v>
      </c>
      <c r="I75" s="14">
        <v>144000</v>
      </c>
      <c r="J75" s="16" t="s">
        <v>19</v>
      </c>
      <c r="K75" s="16" t="s">
        <v>20</v>
      </c>
      <c r="L75" s="16" t="s">
        <v>21</v>
      </c>
      <c r="M75" s="14">
        <v>10</v>
      </c>
    </row>
    <row r="76" spans="1:13" x14ac:dyDescent="0.35">
      <c r="A76" s="16" t="s">
        <v>229</v>
      </c>
      <c r="B76" s="16" t="s">
        <v>64</v>
      </c>
      <c r="C76" s="16" t="s">
        <v>15</v>
      </c>
      <c r="D76" s="16" t="s">
        <v>34</v>
      </c>
      <c r="E76" s="16" t="s">
        <v>41</v>
      </c>
      <c r="F76" s="16" t="s">
        <v>230</v>
      </c>
      <c r="G76" s="14">
        <v>5</v>
      </c>
      <c r="H76" s="14">
        <v>95000</v>
      </c>
      <c r="I76" s="14">
        <v>475000</v>
      </c>
      <c r="J76" s="16" t="s">
        <v>28</v>
      </c>
      <c r="K76" s="16" t="s">
        <v>29</v>
      </c>
      <c r="L76" s="16" t="s">
        <v>21</v>
      </c>
      <c r="M76" s="14">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E6CF2-1B95-4722-B0A3-33B222FDA671}">
  <sheetPr>
    <tabColor rgb="FF7030A0"/>
  </sheetPr>
  <dimension ref="A34:Z60"/>
  <sheetViews>
    <sheetView showGridLines="0" topLeftCell="C22" zoomScale="94" workbookViewId="0">
      <selection activeCell="C62" sqref="C62"/>
    </sheetView>
  </sheetViews>
  <sheetFormatPr defaultRowHeight="14.5" x14ac:dyDescent="0.35"/>
  <sheetData>
    <row r="34" spans="2:26" x14ac:dyDescent="0.35">
      <c r="C34" s="15"/>
    </row>
    <row r="41" spans="2:26" x14ac:dyDescent="0.35">
      <c r="B41" s="15"/>
    </row>
    <row r="42" spans="2:26" x14ac:dyDescent="0.35">
      <c r="B42" s="12"/>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2:26" x14ac:dyDescent="0.35">
      <c r="B43" s="12"/>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2:26" x14ac:dyDescent="0.35">
      <c r="B44" s="12"/>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2:26" x14ac:dyDescent="0.35">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51" spans="1:1" x14ac:dyDescent="0.35">
      <c r="A51" t="s">
        <v>323</v>
      </c>
    </row>
    <row r="52" spans="1:1" x14ac:dyDescent="0.35">
      <c r="A52" t="s">
        <v>321</v>
      </c>
    </row>
    <row r="53" spans="1:1" x14ac:dyDescent="0.35">
      <c r="A53" s="12" t="s">
        <v>324</v>
      </c>
    </row>
    <row r="54" spans="1:1" x14ac:dyDescent="0.35">
      <c r="A54" t="s">
        <v>322</v>
      </c>
    </row>
    <row r="57" spans="1:1" x14ac:dyDescent="0.35">
      <c r="A57" s="12" t="s">
        <v>325</v>
      </c>
    </row>
    <row r="58" spans="1:1" x14ac:dyDescent="0.35">
      <c r="A58" t="s">
        <v>326</v>
      </c>
    </row>
    <row r="59" spans="1:1" x14ac:dyDescent="0.35">
      <c r="A59" t="s">
        <v>327</v>
      </c>
    </row>
    <row r="60" spans="1:1" x14ac:dyDescent="0.35">
      <c r="A60" t="s">
        <v>328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0E236-F321-48C6-990D-4CA960021406}">
  <sheetPr>
    <tabColor theme="5" tint="0.39997558519241921"/>
  </sheetPr>
  <dimension ref="A3:I22"/>
  <sheetViews>
    <sheetView tabSelected="1" zoomScale="86" zoomScaleNormal="115" workbookViewId="0">
      <selection activeCell="C23" sqref="C23"/>
    </sheetView>
  </sheetViews>
  <sheetFormatPr defaultRowHeight="14.5" x14ac:dyDescent="0.35"/>
  <cols>
    <col min="1" max="1" width="19.36328125" bestFit="1" customWidth="1"/>
    <col min="2" max="2" width="15.6328125" bestFit="1" customWidth="1"/>
    <col min="3" max="5" width="10.6328125" bestFit="1" customWidth="1"/>
    <col min="6" max="6" width="11.7265625" bestFit="1" customWidth="1"/>
    <col min="8" max="8" width="13" bestFit="1" customWidth="1"/>
    <col min="9" max="9" width="19.36328125" bestFit="1" customWidth="1"/>
  </cols>
  <sheetData>
    <row r="3" spans="1:9" x14ac:dyDescent="0.35">
      <c r="A3" s="8" t="s">
        <v>314</v>
      </c>
      <c r="B3" t="s">
        <v>316</v>
      </c>
      <c r="D3" s="8" t="s">
        <v>314</v>
      </c>
      <c r="E3" s="11" t="s">
        <v>318</v>
      </c>
      <c r="F3" s="11" t="s">
        <v>317</v>
      </c>
      <c r="H3" s="8" t="s">
        <v>314</v>
      </c>
      <c r="I3" t="s">
        <v>318</v>
      </c>
    </row>
    <row r="4" spans="1:9" x14ac:dyDescent="0.35">
      <c r="A4" s="9" t="s">
        <v>26</v>
      </c>
      <c r="B4" s="10">
        <v>228000</v>
      </c>
      <c r="D4" s="9" t="s">
        <v>14</v>
      </c>
      <c r="E4" s="10">
        <v>20</v>
      </c>
      <c r="F4" s="10">
        <v>975000</v>
      </c>
      <c r="H4" s="9" t="s">
        <v>26</v>
      </c>
      <c r="I4" s="10">
        <v>152</v>
      </c>
    </row>
    <row r="5" spans="1:9" x14ac:dyDescent="0.35">
      <c r="A5" s="9" t="s">
        <v>17</v>
      </c>
      <c r="B5" s="10">
        <v>1340000</v>
      </c>
      <c r="D5" s="9" t="s">
        <v>50</v>
      </c>
      <c r="E5" s="10">
        <v>201</v>
      </c>
      <c r="F5" s="10">
        <v>2140500</v>
      </c>
      <c r="H5" s="9" t="s">
        <v>17</v>
      </c>
      <c r="I5" s="10">
        <v>24</v>
      </c>
    </row>
    <row r="6" spans="1:9" x14ac:dyDescent="0.35">
      <c r="A6" s="9" t="s">
        <v>61</v>
      </c>
      <c r="B6" s="10">
        <v>144500</v>
      </c>
      <c r="D6" s="9" t="s">
        <v>39</v>
      </c>
      <c r="E6" s="10">
        <v>127</v>
      </c>
      <c r="F6" s="10">
        <v>1718000</v>
      </c>
      <c r="H6" s="9" t="s">
        <v>61</v>
      </c>
      <c r="I6" s="10">
        <v>372</v>
      </c>
    </row>
    <row r="7" spans="1:9" x14ac:dyDescent="0.35">
      <c r="A7" s="9" t="s">
        <v>41</v>
      </c>
      <c r="B7" s="10">
        <v>1805000</v>
      </c>
      <c r="D7" s="9" t="s">
        <v>45</v>
      </c>
      <c r="E7" s="10">
        <v>46</v>
      </c>
      <c r="F7" s="10">
        <v>2790000</v>
      </c>
      <c r="H7" s="9" t="s">
        <v>41</v>
      </c>
      <c r="I7" s="10">
        <v>51</v>
      </c>
    </row>
    <row r="8" spans="1:9" x14ac:dyDescent="0.35">
      <c r="A8" s="9" t="s">
        <v>315</v>
      </c>
      <c r="B8" s="10">
        <v>3517500</v>
      </c>
      <c r="D8" s="9" t="s">
        <v>32</v>
      </c>
      <c r="E8" s="10">
        <v>26</v>
      </c>
      <c r="F8" s="10">
        <v>1972000</v>
      </c>
      <c r="H8" s="9" t="s">
        <v>315</v>
      </c>
      <c r="I8" s="10">
        <v>599</v>
      </c>
    </row>
    <row r="9" spans="1:9" x14ac:dyDescent="0.35">
      <c r="D9" s="9" t="s">
        <v>23</v>
      </c>
      <c r="E9" s="10">
        <v>179</v>
      </c>
      <c r="F9" s="10">
        <v>1915500</v>
      </c>
    </row>
    <row r="10" spans="1:9" x14ac:dyDescent="0.35">
      <c r="D10" s="9" t="s">
        <v>315</v>
      </c>
      <c r="E10" s="10">
        <v>599</v>
      </c>
      <c r="F10" s="10">
        <v>11511000</v>
      </c>
      <c r="H10" s="8" t="s">
        <v>314</v>
      </c>
      <c r="I10" t="s">
        <v>317</v>
      </c>
    </row>
    <row r="11" spans="1:9" x14ac:dyDescent="0.35">
      <c r="H11" s="9" t="s">
        <v>36</v>
      </c>
      <c r="I11" s="10">
        <v>3212000</v>
      </c>
    </row>
    <row r="12" spans="1:9" x14ac:dyDescent="0.35">
      <c r="A12" s="8" t="s">
        <v>317</v>
      </c>
      <c r="B12" s="8" t="s">
        <v>319</v>
      </c>
      <c r="H12" s="9" t="s">
        <v>20</v>
      </c>
      <c r="I12" s="10">
        <v>5015000</v>
      </c>
    </row>
    <row r="13" spans="1:9" x14ac:dyDescent="0.35">
      <c r="A13" s="8" t="s">
        <v>314</v>
      </c>
      <c r="B13" s="11" t="s">
        <v>26</v>
      </c>
      <c r="C13" s="11" t="s">
        <v>17</v>
      </c>
      <c r="D13" s="11" t="s">
        <v>61</v>
      </c>
      <c r="E13" s="11" t="s">
        <v>41</v>
      </c>
      <c r="F13" s="11" t="s">
        <v>315</v>
      </c>
      <c r="H13" s="9" t="s">
        <v>29</v>
      </c>
      <c r="I13" s="10">
        <v>3284000</v>
      </c>
    </row>
    <row r="14" spans="1:9" x14ac:dyDescent="0.35">
      <c r="A14" s="9" t="s">
        <v>34</v>
      </c>
      <c r="B14" s="10">
        <v>504000</v>
      </c>
      <c r="C14" s="10">
        <v>340000</v>
      </c>
      <c r="D14" s="10">
        <v>1368500</v>
      </c>
      <c r="E14" s="10">
        <v>1900000</v>
      </c>
      <c r="F14" s="10">
        <v>4112500</v>
      </c>
      <c r="H14" s="9" t="s">
        <v>315</v>
      </c>
      <c r="I14" s="10">
        <v>11511000</v>
      </c>
    </row>
    <row r="15" spans="1:9" x14ac:dyDescent="0.35">
      <c r="A15" s="9" t="s">
        <v>25</v>
      </c>
      <c r="B15" s="10">
        <v>684000</v>
      </c>
      <c r="C15" s="10">
        <v>1690000</v>
      </c>
      <c r="D15" s="10">
        <v>1096500</v>
      </c>
      <c r="E15" s="10">
        <v>1235000</v>
      </c>
      <c r="F15" s="10">
        <v>4705500</v>
      </c>
    </row>
    <row r="16" spans="1:9" x14ac:dyDescent="0.35">
      <c r="A16" s="9" t="s">
        <v>16</v>
      </c>
      <c r="B16" s="10">
        <v>180000</v>
      </c>
      <c r="C16" s="10">
        <v>-440000</v>
      </c>
      <c r="D16" s="10"/>
      <c r="E16" s="10">
        <v>1235000</v>
      </c>
      <c r="F16" s="10">
        <v>975000</v>
      </c>
      <c r="H16" s="8" t="s">
        <v>314</v>
      </c>
      <c r="I16" t="s">
        <v>318</v>
      </c>
    </row>
    <row r="17" spans="1:9" x14ac:dyDescent="0.35">
      <c r="A17" s="9" t="s">
        <v>40</v>
      </c>
      <c r="B17" s="10">
        <v>456000</v>
      </c>
      <c r="C17" s="10">
        <v>90000</v>
      </c>
      <c r="D17" s="10">
        <v>697000</v>
      </c>
      <c r="E17" s="10">
        <v>475000</v>
      </c>
      <c r="F17" s="10">
        <v>1718000</v>
      </c>
      <c r="H17" s="9" t="s">
        <v>91</v>
      </c>
      <c r="I17" s="10">
        <v>11</v>
      </c>
    </row>
    <row r="18" spans="1:9" x14ac:dyDescent="0.35">
      <c r="A18" s="9" t="s">
        <v>315</v>
      </c>
      <c r="B18" s="10">
        <v>1824000</v>
      </c>
      <c r="C18" s="10">
        <v>1680000</v>
      </c>
      <c r="D18" s="10">
        <v>3162000</v>
      </c>
      <c r="E18" s="10">
        <v>4845000</v>
      </c>
      <c r="F18" s="10">
        <v>11511000</v>
      </c>
      <c r="H18" s="9" t="s">
        <v>53</v>
      </c>
      <c r="I18" s="10">
        <v>28</v>
      </c>
    </row>
    <row r="19" spans="1:9" x14ac:dyDescent="0.35">
      <c r="H19" s="9" t="s">
        <v>21</v>
      </c>
      <c r="I19" s="10">
        <v>512</v>
      </c>
    </row>
    <row r="20" spans="1:9" x14ac:dyDescent="0.35">
      <c r="H20" s="9" t="s">
        <v>37</v>
      </c>
      <c r="I20" s="10">
        <v>48</v>
      </c>
    </row>
    <row r="21" spans="1:9" x14ac:dyDescent="0.35">
      <c r="A21" s="11" t="s">
        <v>320</v>
      </c>
      <c r="B21" s="11" t="s">
        <v>317</v>
      </c>
      <c r="C21" s="11" t="s">
        <v>316</v>
      </c>
      <c r="D21" s="11" t="s">
        <v>318</v>
      </c>
      <c r="H21" s="9" t="s">
        <v>315</v>
      </c>
      <c r="I21" s="10">
        <v>599</v>
      </c>
    </row>
    <row r="22" spans="1:9" x14ac:dyDescent="0.35">
      <c r="A22" s="10">
        <v>75</v>
      </c>
      <c r="B22" s="10">
        <v>11511000</v>
      </c>
      <c r="C22" s="10">
        <v>3517500</v>
      </c>
      <c r="D22" s="10">
        <v>599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39997558519241921"/>
  </sheetPr>
  <dimension ref="A1:C100"/>
  <sheetViews>
    <sheetView topLeftCell="J29" workbookViewId="0">
      <selection activeCell="N33" sqref="N33"/>
    </sheetView>
  </sheetViews>
  <sheetFormatPr defaultColWidth="14.453125" defaultRowHeight="15" customHeight="1" x14ac:dyDescent="0.35"/>
  <cols>
    <col min="1" max="1" width="6" customWidth="1"/>
    <col min="2" max="2" width="28" customWidth="1"/>
    <col min="3" max="3" width="72" customWidth="1"/>
    <col min="4" max="11" width="8.7265625" customWidth="1"/>
  </cols>
  <sheetData>
    <row r="1" spans="1:3" ht="37.5" customHeight="1" x14ac:dyDescent="0.35">
      <c r="A1" s="20" t="s">
        <v>231</v>
      </c>
      <c r="B1" s="18"/>
      <c r="C1" s="19"/>
    </row>
    <row r="2" spans="1:3" ht="21.75" customHeight="1" x14ac:dyDescent="0.35">
      <c r="A2" s="17" t="s">
        <v>232</v>
      </c>
      <c r="B2" s="18"/>
      <c r="C2" s="19"/>
    </row>
    <row r="3" spans="1:3" ht="51.75" customHeight="1" x14ac:dyDescent="0.35">
      <c r="A3" s="25" t="s">
        <v>233</v>
      </c>
      <c r="B3" s="18"/>
      <c r="C3" s="19"/>
    </row>
    <row r="4" spans="1:3" ht="7.5" customHeight="1" x14ac:dyDescent="0.35">
      <c r="A4" s="23"/>
      <c r="B4" s="24"/>
      <c r="C4" s="24"/>
    </row>
    <row r="5" spans="1:3" ht="21.75" customHeight="1" x14ac:dyDescent="0.35">
      <c r="A5" s="1" t="s">
        <v>234</v>
      </c>
      <c r="B5" s="1" t="s">
        <v>235</v>
      </c>
      <c r="C5" s="1" t="s">
        <v>236</v>
      </c>
    </row>
    <row r="6" spans="1:3" ht="24" customHeight="1" x14ac:dyDescent="0.35">
      <c r="A6" s="21" t="s">
        <v>237</v>
      </c>
      <c r="B6" s="18"/>
      <c r="C6" s="19"/>
    </row>
    <row r="7" spans="1:3" ht="67.5" customHeight="1" x14ac:dyDescent="0.35">
      <c r="A7" s="2" t="s">
        <v>238</v>
      </c>
      <c r="B7" s="3" t="s">
        <v>239</v>
      </c>
      <c r="C7" s="4" t="s">
        <v>240</v>
      </c>
    </row>
    <row r="8" spans="1:3" ht="67.5" customHeight="1" x14ac:dyDescent="0.35">
      <c r="A8" s="5" t="s">
        <v>241</v>
      </c>
      <c r="B8" s="6" t="s">
        <v>242</v>
      </c>
      <c r="C8" s="7" t="s">
        <v>243</v>
      </c>
    </row>
    <row r="9" spans="1:3" ht="67.5" customHeight="1" x14ac:dyDescent="0.35">
      <c r="A9" s="2" t="s">
        <v>244</v>
      </c>
      <c r="B9" s="3" t="s">
        <v>245</v>
      </c>
      <c r="C9" s="4" t="s">
        <v>246</v>
      </c>
    </row>
    <row r="10" spans="1:3" ht="67.5" customHeight="1" x14ac:dyDescent="0.35">
      <c r="A10" s="5" t="s">
        <v>247</v>
      </c>
      <c r="B10" s="6" t="s">
        <v>248</v>
      </c>
      <c r="C10" s="7" t="s">
        <v>249</v>
      </c>
    </row>
    <row r="11" spans="1:3" ht="67.5" customHeight="1" x14ac:dyDescent="0.35">
      <c r="A11" s="2" t="s">
        <v>250</v>
      </c>
      <c r="B11" s="3" t="s">
        <v>251</v>
      </c>
      <c r="C11" s="4" t="s">
        <v>252</v>
      </c>
    </row>
    <row r="12" spans="1:3" ht="24" customHeight="1" x14ac:dyDescent="0.35">
      <c r="A12" s="21" t="s">
        <v>253</v>
      </c>
      <c r="B12" s="18"/>
      <c r="C12" s="19"/>
    </row>
    <row r="13" spans="1:3" ht="67.5" customHeight="1" x14ac:dyDescent="0.35">
      <c r="A13" s="2" t="s">
        <v>254</v>
      </c>
      <c r="B13" s="3" t="s">
        <v>255</v>
      </c>
      <c r="C13" s="4" t="s">
        <v>256</v>
      </c>
    </row>
    <row r="14" spans="1:3" ht="67.5" customHeight="1" x14ac:dyDescent="0.35">
      <c r="A14" s="5" t="s">
        <v>257</v>
      </c>
      <c r="B14" s="6" t="s">
        <v>258</v>
      </c>
      <c r="C14" s="7" t="s">
        <v>259</v>
      </c>
    </row>
    <row r="15" spans="1:3" ht="67.5" customHeight="1" x14ac:dyDescent="0.35">
      <c r="A15" s="2" t="s">
        <v>260</v>
      </c>
      <c r="B15" s="3" t="s">
        <v>261</v>
      </c>
      <c r="C15" s="4" t="s">
        <v>262</v>
      </c>
    </row>
    <row r="16" spans="1:3" ht="67.5" customHeight="1" x14ac:dyDescent="0.35">
      <c r="A16" s="5" t="s">
        <v>263</v>
      </c>
      <c r="B16" s="6" t="s">
        <v>264</v>
      </c>
      <c r="C16" s="7" t="s">
        <v>265</v>
      </c>
    </row>
    <row r="17" spans="1:3" ht="67.5" customHeight="1" x14ac:dyDescent="0.35">
      <c r="A17" s="2" t="s">
        <v>266</v>
      </c>
      <c r="B17" s="3" t="s">
        <v>267</v>
      </c>
      <c r="C17" s="4" t="s">
        <v>268</v>
      </c>
    </row>
    <row r="18" spans="1:3" ht="24" customHeight="1" x14ac:dyDescent="0.35">
      <c r="A18" s="21" t="s">
        <v>269</v>
      </c>
      <c r="B18" s="18"/>
      <c r="C18" s="19"/>
    </row>
    <row r="19" spans="1:3" ht="72" customHeight="1" x14ac:dyDescent="0.35">
      <c r="A19" s="2" t="s">
        <v>270</v>
      </c>
      <c r="B19" s="3" t="s">
        <v>271</v>
      </c>
      <c r="C19" s="4" t="s">
        <v>272</v>
      </c>
    </row>
    <row r="20" spans="1:3" ht="72" customHeight="1" x14ac:dyDescent="0.35">
      <c r="A20" s="5" t="s">
        <v>273</v>
      </c>
      <c r="B20" s="6" t="s">
        <v>274</v>
      </c>
      <c r="C20" s="7" t="s">
        <v>275</v>
      </c>
    </row>
    <row r="21" spans="1:3" ht="72" customHeight="1" x14ac:dyDescent="0.35">
      <c r="A21" s="2" t="s">
        <v>276</v>
      </c>
      <c r="B21" s="3" t="s">
        <v>277</v>
      </c>
      <c r="C21" s="4" t="s">
        <v>278</v>
      </c>
    </row>
    <row r="22" spans="1:3" ht="72" customHeight="1" x14ac:dyDescent="0.35">
      <c r="A22" s="5" t="s">
        <v>279</v>
      </c>
      <c r="B22" s="6" t="s">
        <v>280</v>
      </c>
      <c r="C22" s="7" t="s">
        <v>281</v>
      </c>
    </row>
    <row r="23" spans="1:3" ht="72" customHeight="1" x14ac:dyDescent="0.35">
      <c r="A23" s="2" t="s">
        <v>282</v>
      </c>
      <c r="B23" s="3" t="s">
        <v>283</v>
      </c>
      <c r="C23" s="4" t="s">
        <v>284</v>
      </c>
    </row>
    <row r="24" spans="1:3" ht="72" customHeight="1" x14ac:dyDescent="0.35">
      <c r="A24" s="5" t="s">
        <v>285</v>
      </c>
      <c r="B24" s="6" t="s">
        <v>286</v>
      </c>
      <c r="C24" s="7" t="s">
        <v>287</v>
      </c>
    </row>
    <row r="25" spans="1:3" ht="72" customHeight="1" x14ac:dyDescent="0.35">
      <c r="A25" s="2" t="s">
        <v>288</v>
      </c>
      <c r="B25" s="3" t="s">
        <v>289</v>
      </c>
      <c r="C25" s="4" t="s">
        <v>290</v>
      </c>
    </row>
    <row r="26" spans="1:3" ht="24" customHeight="1" x14ac:dyDescent="0.35">
      <c r="A26" s="21" t="s">
        <v>291</v>
      </c>
      <c r="B26" s="18"/>
      <c r="C26" s="19"/>
    </row>
    <row r="27" spans="1:3" ht="72" customHeight="1" x14ac:dyDescent="0.35">
      <c r="A27" s="2" t="s">
        <v>292</v>
      </c>
      <c r="B27" s="3" t="s">
        <v>293</v>
      </c>
      <c r="C27" s="4" t="s">
        <v>294</v>
      </c>
    </row>
    <row r="28" spans="1:3" ht="72" customHeight="1" x14ac:dyDescent="0.35">
      <c r="A28" s="5" t="s">
        <v>295</v>
      </c>
      <c r="B28" s="6" t="s">
        <v>296</v>
      </c>
      <c r="C28" s="7" t="s">
        <v>297</v>
      </c>
    </row>
    <row r="29" spans="1:3" ht="72" customHeight="1" x14ac:dyDescent="0.35">
      <c r="A29" s="2" t="s">
        <v>298</v>
      </c>
      <c r="B29" s="3" t="s">
        <v>299</v>
      </c>
      <c r="C29" s="4" t="s">
        <v>300</v>
      </c>
    </row>
    <row r="30" spans="1:3" ht="72" customHeight="1" x14ac:dyDescent="0.35">
      <c r="A30" s="5" t="s">
        <v>301</v>
      </c>
      <c r="B30" s="6" t="s">
        <v>302</v>
      </c>
      <c r="C30" s="7" t="s">
        <v>303</v>
      </c>
    </row>
    <row r="31" spans="1:3" ht="72" customHeight="1" x14ac:dyDescent="0.35">
      <c r="A31" s="2" t="s">
        <v>304</v>
      </c>
      <c r="B31" s="3" t="s">
        <v>305</v>
      </c>
      <c r="C31" s="4" t="s">
        <v>306</v>
      </c>
    </row>
    <row r="32" spans="1:3" ht="72" customHeight="1" x14ac:dyDescent="0.35">
      <c r="A32" s="5" t="s">
        <v>307</v>
      </c>
      <c r="B32" s="6" t="s">
        <v>308</v>
      </c>
      <c r="C32" s="7" t="s">
        <v>309</v>
      </c>
    </row>
    <row r="33" spans="1:3" ht="72" customHeight="1" x14ac:dyDescent="0.35">
      <c r="A33" s="2" t="s">
        <v>310</v>
      </c>
      <c r="B33" s="3" t="s">
        <v>311</v>
      </c>
      <c r="C33" s="4" t="s">
        <v>312</v>
      </c>
    </row>
    <row r="34" spans="1:3" ht="14.25" customHeight="1" x14ac:dyDescent="0.35"/>
    <row r="35" spans="1:3" ht="39.75" customHeight="1" x14ac:dyDescent="0.35">
      <c r="A35" s="22" t="s">
        <v>313</v>
      </c>
      <c r="B35" s="18"/>
      <c r="C35" s="19"/>
    </row>
    <row r="36" spans="1:3" ht="14.25" customHeight="1" x14ac:dyDescent="0.35"/>
    <row r="37" spans="1:3" ht="14.25" customHeight="1" x14ac:dyDescent="0.35"/>
    <row r="38" spans="1:3" ht="14.25" customHeight="1" x14ac:dyDescent="0.35"/>
    <row r="39" spans="1:3" ht="14.25" customHeight="1" x14ac:dyDescent="0.35"/>
    <row r="40" spans="1:3" ht="14.25" customHeight="1" x14ac:dyDescent="0.35"/>
    <row r="41" spans="1:3" ht="14.25" customHeight="1" x14ac:dyDescent="0.35"/>
    <row r="42" spans="1:3" ht="14.25" customHeight="1" x14ac:dyDescent="0.35"/>
    <row r="43" spans="1:3" ht="14.25" customHeight="1" x14ac:dyDescent="0.35"/>
    <row r="44" spans="1:3" ht="14.25" customHeight="1" x14ac:dyDescent="0.35"/>
    <row r="45" spans="1:3" ht="14.25" customHeight="1" x14ac:dyDescent="0.35"/>
    <row r="46" spans="1:3" ht="14.25" customHeight="1" x14ac:dyDescent="0.35"/>
    <row r="47" spans="1:3" ht="14.25" customHeight="1" x14ac:dyDescent="0.35"/>
    <row r="48" spans="1:3"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sheetData>
  <mergeCells count="9">
    <mergeCell ref="A2:C2"/>
    <mergeCell ref="A1:C1"/>
    <mergeCell ref="A6:C6"/>
    <mergeCell ref="A18:C18"/>
    <mergeCell ref="A35:C35"/>
    <mergeCell ref="A12:C12"/>
    <mergeCell ref="A4:C4"/>
    <mergeCell ref="A26:C26"/>
    <mergeCell ref="A3:C3"/>
  </mergeCells>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718B75-1E02-479D-94C0-F8B242CE62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database</vt:lpstr>
      <vt:lpstr>Cleaned Data</vt:lpstr>
      <vt:lpstr>Dashboard</vt:lpstr>
      <vt:lpstr>Analysis</vt:lpstr>
      <vt:lpstr>Assignment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olubowaletemitope12@gmail.com</cp:lastModifiedBy>
  <dcterms:created xsi:type="dcterms:W3CDTF">2026-02-28T09:37:29Z</dcterms:created>
  <dcterms:modified xsi:type="dcterms:W3CDTF">2026-08-14T00:53:37Z</dcterms:modified>
</cp:coreProperties>
</file>